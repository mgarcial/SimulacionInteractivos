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111"/>
  <workbookPr defaultThemeVersion="124226"/>
  <mc:AlternateContent xmlns:mc="http://schemas.openxmlformats.org/markup-compatibility/2006">
    <mc:Choice Requires="x15">
      <x15ac:absPath xmlns:x15ac="http://schemas.microsoft.com/office/spreadsheetml/2010/11/ac" url="https://upbeduco.sharepoint.com/sites/ComiteAcademicoEntretenimiento/Shared Documents/02 Plan de Desarrollo/02-2.2 Renovación de Registro calificado IDED 2019/Anexos/CARTAS DESCRIPTIVAS/"/>
    </mc:Choice>
  </mc:AlternateContent>
  <xr:revisionPtr revIDLastSave="2" documentId="8_{0A78A963-384F-46F1-A85C-F6055E9C558A}" xr6:coauthVersionLast="45" xr6:coauthVersionMax="45" xr10:uidLastSave="{3273DB4F-34E8-4837-A47A-2792762F8493}"/>
  <bookViews>
    <workbookView xWindow="-108" yWindow="-108" windowWidth="23256" windowHeight="12576" tabRatio="848" xr2:uid="{00000000-000D-0000-FFFF-FFFF00000000}"/>
  </bookViews>
  <sheets>
    <sheet name="Carta descriptiva" sheetId="4" r:id="rId1"/>
    <sheet name="Definiciones" sheetId="5" r:id="rId2"/>
    <sheet name="Listas" sheetId="12" state="hidden" r:id="rId3"/>
    <sheet name="Descripción del curso-Catálogo" sheetId="16" state="hidden" r:id="rId4"/>
  </sheets>
  <definedNames>
    <definedName name="_xlnm._FilterDatabase" localSheetId="2" hidden="1">Listas!$A$1:$F$1883</definedName>
  </definedNames>
  <calcPr calcId="191028" calcMode="manual"/>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2" i="16" l="1"/>
  <c r="B9" i="16"/>
  <c r="B11" i="16"/>
  <c r="B15" i="16"/>
  <c r="B14" i="16"/>
  <c r="B13" i="16"/>
  <c r="B10" i="16"/>
  <c r="B8" i="16"/>
  <c r="B7" i="16"/>
  <c r="B5" i="16"/>
  <c r="B6" i="16"/>
  <c r="B2" i="16"/>
  <c r="B4" i="16"/>
  <c r="A66" i="4"/>
  <c r="A65" i="4"/>
  <c r="A64" i="4"/>
  <c r="A63" i="4"/>
  <c r="A62" i="4"/>
  <c r="A61" i="4"/>
  <c r="A60" i="4"/>
  <c r="A59" i="4"/>
  <c r="B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Bayron Ándres Estrada Carmona</author>
    <author>Luz Dary Castellanos Prada</author>
    <author>Luz Dary Castellano Prada</author>
  </authors>
  <commentList>
    <comment ref="A4" authorId="0" shapeId="0" xr:uid="{00000000-0006-0000-0000-000001000000}">
      <text>
        <r>
          <rPr>
            <sz val="9"/>
            <color indexed="81"/>
            <rFont val="Tahoma"/>
            <family val="2"/>
          </rPr>
          <t xml:space="preserve">Escribir en mayúscula sostenida y con ortografía.
</t>
        </r>
      </text>
    </comment>
    <comment ref="A12" authorId="1" shapeId="0" xr:uid="{00000000-0006-0000-0000-000002000000}">
      <text>
        <r>
          <rPr>
            <sz val="9"/>
            <color indexed="81"/>
            <rFont val="Tahoma"/>
            <family val="2"/>
          </rPr>
          <t xml:space="preserve">Escriba el número de créditos en cada casilla según corresponda.
</t>
        </r>
      </text>
    </comment>
    <comment ref="A14" authorId="1" shapeId="0" xr:uid="{00000000-0006-0000-0000-000003000000}">
      <text>
        <r>
          <rPr>
            <sz val="9"/>
            <color indexed="81"/>
            <rFont val="Tahoma"/>
            <family val="2"/>
          </rPr>
          <t>Escriba el número de horas totales del curso en cada casilla según corresponda.</t>
        </r>
      </text>
    </comment>
    <comment ref="A16" authorId="2" shapeId="0" xr:uid="{00000000-0006-0000-0000-000004000000}">
      <text>
        <r>
          <rPr>
            <sz val="9"/>
            <color indexed="81"/>
            <rFont val="Tahoma"/>
            <family val="2"/>
          </rPr>
          <t>Selecciones una de las tres opciones y escriba los porcentajes correspondientes.</t>
        </r>
      </text>
    </comment>
    <comment ref="F16" authorId="1" shapeId="0" xr:uid="{00000000-0006-0000-0000-000005000000}">
      <text>
        <r>
          <rPr>
            <sz val="9"/>
            <color indexed="81"/>
            <rFont val="Tahoma"/>
            <family val="2"/>
          </rPr>
          <t>Selecciones una de las opciones según corresponda.</t>
        </r>
      </text>
    </comment>
    <comment ref="A20" authorId="0" shapeId="0" xr:uid="{00000000-0006-0000-0000-000006000000}">
      <text>
        <r>
          <rPr>
            <sz val="9"/>
            <color indexed="81"/>
            <rFont val="Tahoma"/>
            <family val="2"/>
          </rPr>
          <t>Formulados en términos de criterios de competencias y en primera persona. Los conceptuales se refieren a las teorías, conceptos, hechos o datos; los procedimentales se refieren a habilidades cognitivas o motoras, por ejemplo; sintetizar, analizar, resumir, resolver, manejar equipos, programas, entre otras. Los axiológicos se refieren a los valores o a actitudes, por ejemplo; el respeto, la solidaridad, la puntualidad. Un saber, no necesariamente tiene los tres componentes, esto se deja a consideración del experto en el tema.</t>
        </r>
      </text>
    </comment>
    <comment ref="A25" authorId="2" shapeId="0" xr:uid="{00000000-0006-0000-0000-000007000000}">
      <text>
        <r>
          <rPr>
            <sz val="9"/>
            <color indexed="81"/>
            <rFont val="Tahoma"/>
            <family val="2"/>
          </rPr>
          <t>Aproximadamente 100 palabras.</t>
        </r>
      </text>
    </comment>
    <comment ref="A26" authorId="2" shapeId="0" xr:uid="{00000000-0006-0000-0000-000008000000}">
      <text>
        <r>
          <rPr>
            <sz val="9"/>
            <color indexed="81"/>
            <rFont val="Tahoma"/>
            <family val="2"/>
          </rPr>
          <t xml:space="preserve">Redacción en forma sustantivada (Aproximadamente 50 palabras). </t>
        </r>
      </text>
    </comment>
    <comment ref="A27" authorId="2" shapeId="0" xr:uid="{00000000-0006-0000-0000-000009000000}">
      <text>
        <r>
          <rPr>
            <sz val="9"/>
            <color indexed="81"/>
            <rFont val="Tahoma"/>
            <family val="2"/>
          </rPr>
          <t xml:space="preserve">Se transcriben de la declaración que ha hecho el programa académico, en el mapa de Capacidades Humanas y Competencias, en la columna: </t>
        </r>
        <r>
          <rPr>
            <b/>
            <sz val="9"/>
            <color indexed="81"/>
            <rFont val="Tahoma"/>
            <family val="2"/>
          </rPr>
          <t>Formulación de Capacidades Humanas</t>
        </r>
        <r>
          <rPr>
            <sz val="9"/>
            <color indexed="81"/>
            <rFont val="Tahoma"/>
            <family val="2"/>
          </rPr>
          <t>, de acuerdo con el ciclo al que pertenece este curso.</t>
        </r>
      </text>
    </comment>
    <comment ref="A28" authorId="2" shapeId="0" xr:uid="{00000000-0006-0000-0000-00000A000000}">
      <text>
        <r>
          <rPr>
            <sz val="9"/>
            <color indexed="81"/>
            <rFont val="Tahoma"/>
            <family val="2"/>
          </rPr>
          <t xml:space="preserve">Se transcribe de la declaración que ha hecho el programa académico, en el mapa de Capacidades Humanas y Competencias, en la columna: </t>
        </r>
        <r>
          <rPr>
            <b/>
            <sz val="9"/>
            <color indexed="81"/>
            <rFont val="Tahoma"/>
            <family val="2"/>
          </rPr>
          <t>Dominio de competencias</t>
        </r>
        <r>
          <rPr>
            <sz val="9"/>
            <color indexed="81"/>
            <rFont val="Tahoma"/>
            <family val="2"/>
          </rPr>
          <t>, de acuerdo con el área o núcleo al que pertenece este curso.</t>
        </r>
      </text>
    </comment>
    <comment ref="B28" authorId="2" shapeId="0" xr:uid="{00000000-0006-0000-0000-00000B000000}">
      <text>
        <r>
          <rPr>
            <sz val="9"/>
            <color indexed="81"/>
            <rFont val="Tahoma"/>
            <family val="2"/>
          </rPr>
          <t>Se transcribe de la declaración que ha hecho el programa académico, en el mapa de Capacidades Humanas y Competencias, en la columna:</t>
        </r>
        <r>
          <rPr>
            <b/>
            <sz val="9"/>
            <color indexed="81"/>
            <rFont val="Tahoma"/>
            <family val="2"/>
          </rPr>
          <t xml:space="preserve"> Formulación de competencias</t>
        </r>
        <r>
          <rPr>
            <sz val="9"/>
            <color indexed="81"/>
            <rFont val="Tahoma"/>
            <family val="2"/>
          </rPr>
          <t>, de acuerdo con el área o núcleo al que pertenece este curso. Si hay varios numerales aquí, divida las casillas correspondientes  al número de criterios, de manera que apunten en total a los 8 criterios de competencia.</t>
        </r>
      </text>
    </comment>
    <comment ref="C28" authorId="1" shapeId="0" xr:uid="{00000000-0006-0000-0000-00000C000000}">
      <text>
        <r>
          <rPr>
            <sz val="9"/>
            <color indexed="81"/>
            <rFont val="Tahoma"/>
            <family val="2"/>
          </rPr>
          <t>Se transcribe de la declaración que ha hecho el programa académico, en el mapa de</t>
        </r>
        <r>
          <rPr>
            <b/>
            <sz val="9"/>
            <color indexed="81"/>
            <rFont val="Tahoma"/>
            <family val="2"/>
          </rPr>
          <t xml:space="preserve"> Capacidades Humanas y Competencias</t>
        </r>
        <r>
          <rPr>
            <sz val="9"/>
            <color indexed="81"/>
            <rFont val="Tahoma"/>
            <family val="2"/>
          </rPr>
          <t>, en la columna: Criterios de competencias, de acuerdo con el curso.</t>
        </r>
      </text>
    </comment>
    <comment ref="F28" authorId="1" shapeId="0" xr:uid="{00000000-0006-0000-0000-00000D000000}">
      <text>
        <r>
          <rPr>
            <sz val="9"/>
            <color indexed="81"/>
            <rFont val="Tahoma"/>
            <family val="2"/>
          </rPr>
          <t>Se transcribe de la declaración que ha hecho el programa académico, en el mapa de Capacidades Humanas y Competencias, en la columna:</t>
        </r>
        <r>
          <rPr>
            <b/>
            <sz val="9"/>
            <color indexed="81"/>
            <rFont val="Tahoma"/>
            <family val="2"/>
          </rPr>
          <t xml:space="preserve"> Nivel de desarrollo de la competencia</t>
        </r>
        <r>
          <rPr>
            <sz val="9"/>
            <color indexed="81"/>
            <rFont val="Tahoma"/>
            <family val="2"/>
          </rPr>
          <t xml:space="preserve">, de acuerdo con cada criterio de competencia.  Marque con una X según corresponda.
</t>
        </r>
      </text>
    </comment>
    <comment ref="G28" authorId="1" shapeId="0" xr:uid="{00000000-0006-0000-0000-00000E000000}">
      <text>
        <r>
          <rPr>
            <sz val="9"/>
            <color indexed="81"/>
            <rFont val="Tahoma"/>
            <family val="2"/>
          </rPr>
          <t>Que permitan el desarrollo de las competencias. Se declaran los contenidos conceptuales, procedimentales y axiológicos. Se escriben en forma sustantivada.</t>
        </r>
        <r>
          <rPr>
            <sz val="9"/>
            <color indexed="81"/>
            <rFont val="Tahoma"/>
            <family val="2"/>
          </rPr>
          <t xml:space="preserve">
</t>
        </r>
      </text>
    </comment>
    <comment ref="E57" authorId="1" shapeId="0" xr:uid="{00000000-0006-0000-0000-00000F000000}">
      <text>
        <r>
          <rPr>
            <sz val="9"/>
            <color indexed="81"/>
            <rFont val="Tahoma"/>
            <family val="2"/>
          </rPr>
          <t xml:space="preserve">La suma de los porcentajes de todos los criterios debe ser del 100%.
</t>
        </r>
      </text>
    </comment>
    <comment ref="G57" authorId="1" shapeId="0" xr:uid="{00000000-0006-0000-0000-000010000000}">
      <text>
        <r>
          <rPr>
            <sz val="9"/>
            <color indexed="81"/>
            <rFont val="Tahoma"/>
            <family val="2"/>
          </rPr>
          <t xml:space="preserve">Se transcribe de la declaración que ha hecho el programa académico, en el mapa de Capacidades Humanas y Competencias, en la columna: </t>
        </r>
        <r>
          <rPr>
            <b/>
            <sz val="9"/>
            <color indexed="81"/>
            <rFont val="Tahoma"/>
            <family val="2"/>
          </rPr>
          <t>Evidencias.</t>
        </r>
      </text>
    </comment>
    <comment ref="A74" authorId="1" shapeId="0" xr:uid="{00000000-0006-0000-0000-000011000000}">
      <text>
        <r>
          <rPr>
            <sz val="9"/>
            <color indexed="81"/>
            <rFont val="Tahoma"/>
            <family val="2"/>
          </rPr>
          <t xml:space="preserve">Recuerde enviar al correo </t>
        </r>
        <r>
          <rPr>
            <b/>
            <sz val="9"/>
            <color indexed="81"/>
            <rFont val="Tahoma"/>
            <family val="2"/>
          </rPr>
          <t>catalogo@upb.edu.co</t>
        </r>
        <r>
          <rPr>
            <sz val="9"/>
            <color indexed="81"/>
            <rFont val="Tahoma"/>
            <family val="2"/>
          </rPr>
          <t xml:space="preserve">, la solicitud con la copia del acta donde se aprueba.
</t>
        </r>
      </text>
    </comment>
    <comment ref="A75" authorId="1" shapeId="0" xr:uid="{00000000-0006-0000-0000-000012000000}">
      <text>
        <r>
          <rPr>
            <sz val="9"/>
            <color indexed="81"/>
            <rFont val="Tahoma"/>
            <family val="2"/>
          </rPr>
          <t xml:space="preserve">Recuerde enviar al correo </t>
        </r>
        <r>
          <rPr>
            <b/>
            <sz val="9"/>
            <color indexed="81"/>
            <rFont val="Tahoma"/>
            <family val="2"/>
          </rPr>
          <t>catalogo@upb.edu.co</t>
        </r>
        <r>
          <rPr>
            <sz val="9"/>
            <color indexed="81"/>
            <rFont val="Tahoma"/>
            <family val="2"/>
          </rPr>
          <t xml:space="preserve">, la solicitud con la copia del acta donde se aprueba.
</t>
        </r>
      </text>
    </comment>
  </commentList>
</comments>
</file>

<file path=xl/sharedStrings.xml><?xml version="1.0" encoding="utf-8"?>
<sst xmlns="http://schemas.openxmlformats.org/spreadsheetml/2006/main" count="1169" uniqueCount="1143">
  <si>
    <r>
      <t xml:space="preserve">CARTA DESCRIPTIVA DEL CURSO 
</t>
    </r>
    <r>
      <rPr>
        <sz val="8"/>
        <rFont val="Arial"/>
        <family val="2"/>
      </rPr>
      <t>Código: DA-FO-763
Versión: 3</t>
    </r>
  </si>
  <si>
    <t>IDENTIFICACIÓN DEL CURSO</t>
  </si>
  <si>
    <t>Nombre del curso:</t>
  </si>
  <si>
    <t>Simulación para sistemas interactivos</t>
  </si>
  <si>
    <t>Código del curso:</t>
  </si>
  <si>
    <t>Campo diligenciado por la coordinación del catálogo</t>
  </si>
  <si>
    <t>Núcleo Básico de Conocimiento:</t>
  </si>
  <si>
    <t>8827 - Ingeniería de Sistemas, Telemática y afines</t>
  </si>
  <si>
    <t>Código UNESCO</t>
  </si>
  <si>
    <t>3304 - CTME - Tecnología de los ordenadores</t>
  </si>
  <si>
    <t>Nombre de la Escuela que ofrece el curso:</t>
  </si>
  <si>
    <t>MI - Ingeniería-Med</t>
  </si>
  <si>
    <t>Nombre del programa que diseña el curso:</t>
  </si>
  <si>
    <t>MCIO - Ing Diseño Entret Digital-Med</t>
  </si>
  <si>
    <t>Nivel del curso:</t>
  </si>
  <si>
    <t>Pregrado</t>
  </si>
  <si>
    <t>Ciclo al que se adscribe el curso:</t>
  </si>
  <si>
    <t xml:space="preserve">  Pregrado                                                                                                       Postgrado</t>
  </si>
  <si>
    <t>Número de créditos</t>
  </si>
  <si>
    <t xml:space="preserve">Académicos </t>
  </si>
  <si>
    <t>Facturables</t>
  </si>
  <si>
    <t>Número de horas</t>
  </si>
  <si>
    <t>Teóricas</t>
  </si>
  <si>
    <t>Laboratorio o práctica</t>
  </si>
  <si>
    <t>Trabajo independiente del estudiante</t>
  </si>
  <si>
    <t>Otras horas</t>
  </si>
  <si>
    <t xml:space="preserve">Metodología del curso: </t>
  </si>
  <si>
    <t xml:space="preserve">Porcentaje de presencialidad </t>
  </si>
  <si>
    <t xml:space="preserve">Porcentaje de virtualidad </t>
  </si>
  <si>
    <t>Modalidad del Curso</t>
  </si>
  <si>
    <t xml:space="preserve">Modo de Calificación  </t>
  </si>
  <si>
    <t>1 - Cuantitativa de 0.0 a 5.0</t>
  </si>
  <si>
    <t xml:space="preserve">Saberes previos </t>
  </si>
  <si>
    <t>Conceptuales - Procedimentales - Axiológicos</t>
  </si>
  <si>
    <t>1. Adapto situaciones o problemas planteados en lenguaje natural a lenguaje matemático.
2. Modelo sistemas y fenómenos en ingeniería por medio de matemáticas y física.
3. Construyo contenidos digitales pertinentes y eficientes que respondan a las necesidades del proyecto empleando  métodos y técnicas apropiadas.
4. Aplico los conceptos necesarios para el correcto diseño, implementación, funcionamiento y diagnóstico del software en la producción de sistemas de entretenimiento digital utilizando los procedimientos y herramientas adecuadas según el contexto.
5. Aplico los conocimientos de matemáticas, diseño, ciencias e ingeniería en mi ejercicio profesional.</t>
  </si>
  <si>
    <t>CONCEPCIÓN DEL CURSO POR CAPACIDADES HUMANAS Y COMPETENCIAS</t>
  </si>
  <si>
    <t>Descripción del curso¹</t>
  </si>
  <si>
    <t xml:space="preserve">El objeto de este curso es la construcción de aplicaciones interactivas que utilicen y resuelvan modelos matemáticos y físicos para la solución de problemas en el entretenimiento digital </t>
  </si>
  <si>
    <r>
      <t>Propósito de formación del curso</t>
    </r>
    <r>
      <rPr>
        <b/>
        <vertAlign val="superscript"/>
        <sz val="10"/>
        <color theme="1"/>
        <rFont val="Arial"/>
        <family val="2"/>
      </rPr>
      <t>2</t>
    </r>
  </si>
  <si>
    <t xml:space="preserve">El curso busca que el estudiante aprenda la aplicación de los modelos matemáticos y físicos para la solución de problemas del entretenimiento digital en la construcción de aplicaciones interactivas. </t>
  </si>
  <si>
    <r>
      <t>Capacidad (es) humana (s)</t>
    </r>
    <r>
      <rPr>
        <b/>
        <vertAlign val="superscript"/>
        <sz val="10"/>
        <color theme="1"/>
        <rFont val="Arial"/>
        <family val="2"/>
      </rPr>
      <t xml:space="preserve">3 </t>
    </r>
    <r>
      <rPr>
        <b/>
        <sz val="10"/>
        <color theme="1"/>
        <rFont val="Arial"/>
        <family val="2"/>
      </rPr>
      <t xml:space="preserve"> del ciclo que desarrolla el curso</t>
    </r>
  </si>
  <si>
    <t>Se forma para el desempeño profesional con conocimientos, procedimientos y actitudes que le permitan conceptualizar, diseñar, implementar y operar sistemas para y basados en el entretenimiento digital</t>
  </si>
  <si>
    <r>
      <t>Dominio de competencias</t>
    </r>
    <r>
      <rPr>
        <b/>
        <vertAlign val="superscript"/>
        <sz val="10"/>
        <rFont val="Arial"/>
        <family val="2"/>
      </rPr>
      <t>4</t>
    </r>
  </si>
  <si>
    <r>
      <t>Formulación  de la competencia</t>
    </r>
    <r>
      <rPr>
        <b/>
        <vertAlign val="superscript"/>
        <sz val="10"/>
        <rFont val="Arial"/>
        <family val="2"/>
      </rPr>
      <t>5</t>
    </r>
  </si>
  <si>
    <r>
      <t>Criterios de competencia del curso</t>
    </r>
    <r>
      <rPr>
        <b/>
        <vertAlign val="superscript"/>
        <sz val="10"/>
        <rFont val="Arial"/>
        <family val="2"/>
      </rPr>
      <t>6</t>
    </r>
  </si>
  <si>
    <r>
      <t>Nivel de desarrollo</t>
    </r>
    <r>
      <rPr>
        <b/>
        <vertAlign val="superscript"/>
        <sz val="10"/>
        <rFont val="Arial"/>
        <family val="2"/>
      </rPr>
      <t xml:space="preserve">7 </t>
    </r>
    <r>
      <rPr>
        <b/>
        <sz val="10"/>
        <rFont val="Arial"/>
        <family val="2"/>
      </rPr>
      <t xml:space="preserve"> </t>
    </r>
  </si>
  <si>
    <t xml:space="preserve">Contenidos y experiencias de aprendizaje </t>
  </si>
  <si>
    <t>1. Ingeniería de Software
2. Materialización</t>
  </si>
  <si>
    <t>1. Construye aplicaciones que posibilitan la interacción entre personas, mediada por tecnologías digitales, utilizando lenguajes y metodologías apropiadas según el contexto.
2. Materializa sistemas intermediados por el entretenimiento digital para resolver problemas de acuerdo con requerimientos condicionados por el contexto</t>
  </si>
  <si>
    <t>1.1. Aplico los conceptos necesarios para el correcto diseño, implementación, funcionamiento y diagnóstico del software en la producción de sistemas de entretenimiento digital utilizando los procedimientos y herramientas adecuadas.</t>
  </si>
  <si>
    <t>Autónomo</t>
  </si>
  <si>
    <t xml:space="preserve">El entendimiento y uso de los siguientes tópicos en la construcción de aplicaciones interactivas y creativas:
La simulación del movimiento: vectores y fuerzas.
La simulación del movimiento: oscilación
Los sistemas de partículas
La simulación de físicas: bibliotecas de físicas.
Los sistemas complejos: agentes autónomos, autómata celular, fractales.
Algoritmos genéticos y redes neuronales.
</t>
  </si>
  <si>
    <t>1.2. Diseño, aplico y gestiono pruebas para verificar el correcto funcionamiento de las partes y del todo de un software de manera ordenada y eficiente</t>
  </si>
  <si>
    <t>2.1. Aplico los conocimientos de matemáticas, diseño, ciencias e ingeniería en mi ejercicio profesional</t>
  </si>
  <si>
    <t>Resolutivo</t>
  </si>
  <si>
    <t>2.2.Integro contenidos digitales para la elaboración de sistemas interactivos mediante herramientas, métodos y lenguajes de programación de manera creativa, eficiente, efectiva y ordenada</t>
  </si>
  <si>
    <t>Seleccione de la lista</t>
  </si>
  <si>
    <t xml:space="preserve">7. </t>
  </si>
  <si>
    <t xml:space="preserve">8. </t>
  </si>
  <si>
    <t>PROCESO DE ENSEÑANZA Y APRENDIZAJE POR CAPACIDADES HUMANAS Y COMPETENCIAS</t>
  </si>
  <si>
    <r>
      <t>Determinación de las modalidades y métodos de enseñanza y aprendizaje</t>
    </r>
    <r>
      <rPr>
        <b/>
        <vertAlign val="superscript"/>
        <sz val="10"/>
        <color theme="1"/>
        <rFont val="Arial"/>
        <family val="2"/>
      </rPr>
      <t>8</t>
    </r>
    <r>
      <rPr>
        <b/>
        <sz val="10"/>
        <color theme="1"/>
        <rFont val="Arial"/>
        <family val="2"/>
      </rPr>
      <t xml:space="preserve"> (Descripción de las maneras cómo va ayudar a desarrollar las capacidades humanas y competencias en los espacios de formación: métodos, modalidades, metodologías). </t>
    </r>
  </si>
  <si>
    <t>La modalidad del curso es presencial. Se trabaja una metodología de aula invertida. En las clases presenciales, los estudiantes trabajan  de manera individual y en grupo para resolver ejercicios y problemas. En el tiempo autónomo se proponen lecturas para complementar el trabajo en clase.</t>
  </si>
  <si>
    <r>
      <t>VALORACIÓN  DE LAS COMPETENCIAS</t>
    </r>
    <r>
      <rPr>
        <b/>
        <vertAlign val="superscript"/>
        <sz val="10"/>
        <rFont val="Arial"/>
        <family val="2"/>
      </rPr>
      <t xml:space="preserve">9  </t>
    </r>
  </si>
  <si>
    <t>Número del criterio</t>
  </si>
  <si>
    <t>Ponderación</t>
  </si>
  <si>
    <t>Evidencias</t>
  </si>
  <si>
    <t>Programas, Documentación</t>
  </si>
  <si>
    <t>Proyectos, problemas</t>
  </si>
  <si>
    <t xml:space="preserve">Proyectos, Portafolio, proyecto final </t>
  </si>
  <si>
    <t>REFERENCIAS</t>
  </si>
  <si>
    <t>Bibliografía básica:</t>
  </si>
  <si>
    <t>D. Shiffman, 2012. The Nature of Code: Simulating Natural Systems with Processing. Daniel Shiffman.</t>
  </si>
  <si>
    <t>Bibliografía en otros idiomas:</t>
  </si>
  <si>
    <t>Cibergrafía:</t>
  </si>
  <si>
    <t>Bases de datos:</t>
  </si>
  <si>
    <t>Otros (Cuáles):</t>
  </si>
  <si>
    <t>DATOS DE ELABORACIÓN Y ACTUALIZACIÓN</t>
  </si>
  <si>
    <t>Número y fecha del acta del comité de currículo donde se aprueba la creación  del curso:</t>
  </si>
  <si>
    <t>Número y fecha del acta del comité de currículo donde se aprueba la modificación del curso con su respectiva justificación:</t>
  </si>
  <si>
    <t>DEFINICIONES</t>
  </si>
  <si>
    <r>
      <rPr>
        <b/>
        <sz val="12"/>
        <rFont val="Arial"/>
        <family val="2"/>
      </rPr>
      <t>1.</t>
    </r>
    <r>
      <rPr>
        <sz val="12"/>
        <rFont val="Arial"/>
        <family val="2"/>
      </rPr>
      <t xml:space="preserve"> La </t>
    </r>
    <r>
      <rPr>
        <b/>
        <sz val="12"/>
        <rFont val="Arial"/>
        <family val="2"/>
      </rPr>
      <t>descripción</t>
    </r>
    <r>
      <rPr>
        <sz val="12"/>
        <rFont val="Arial"/>
        <family val="2"/>
      </rPr>
      <t xml:space="preserve"> debe establecer el objeto del curso. Debe hacerse en un párrafo de no más de 10 líneas.</t>
    </r>
  </si>
  <si>
    <r>
      <rPr>
        <b/>
        <sz val="12"/>
        <rFont val="Arial"/>
        <family val="2"/>
      </rPr>
      <t>2.</t>
    </r>
    <r>
      <rPr>
        <sz val="12"/>
        <rFont val="Arial"/>
        <family val="2"/>
      </rPr>
      <t xml:space="preserve"> El </t>
    </r>
    <r>
      <rPr>
        <b/>
        <sz val="12"/>
        <rFont val="Arial"/>
        <family val="2"/>
      </rPr>
      <t>propósito</t>
    </r>
    <r>
      <rPr>
        <sz val="12"/>
        <rFont val="Arial"/>
        <family val="2"/>
      </rPr>
      <t xml:space="preserve"> de formación describe los efectos previstos, especifica los fines generales, define la dirección hacia la cual se deben encaminar las acciones, sintetiza la finalidad y enfatiza el proceso del curso. Responde a la pregunta del porqué del curso.</t>
    </r>
    <r>
      <rPr>
        <sz val="12"/>
        <color indexed="8"/>
        <rFont val="Arial"/>
        <family val="2"/>
      </rPr>
      <t xml:space="preserve"> En otras palabras, un propósito de formación d</t>
    </r>
    <r>
      <rPr>
        <sz val="12"/>
        <rFont val="Arial"/>
        <family val="2"/>
      </rPr>
      <t xml:space="preserve">escribe los procesos generales de formación, se enfoca al proceso y a la finalidad global del proceso formativo. </t>
    </r>
  </si>
  <si>
    <r>
      <rPr>
        <b/>
        <sz val="12"/>
        <rFont val="Arial"/>
        <family val="2"/>
      </rPr>
      <t>3.</t>
    </r>
    <r>
      <rPr>
        <sz val="12"/>
        <rFont val="Arial"/>
        <family val="2"/>
      </rPr>
      <t xml:space="preserve"> La </t>
    </r>
    <r>
      <rPr>
        <b/>
        <sz val="12"/>
        <rFont val="Arial"/>
        <family val="2"/>
      </rPr>
      <t>capacidad humana</t>
    </r>
    <r>
      <rPr>
        <sz val="12"/>
        <rFont val="Arial"/>
        <family val="2"/>
      </rPr>
      <t xml:space="preserve"> se entiende como lo que una persona es capaz de ser y hacer en el contexto de la dignidad humana.</t>
    </r>
  </si>
  <si>
    <r>
      <rPr>
        <b/>
        <sz val="12"/>
        <rFont val="Arial"/>
        <family val="2"/>
      </rPr>
      <t>4.</t>
    </r>
    <r>
      <rPr>
        <sz val="12"/>
        <rFont val="Arial"/>
        <family val="2"/>
      </rPr>
      <t xml:space="preserve"> </t>
    </r>
    <r>
      <rPr>
        <b/>
        <sz val="12"/>
        <rFont val="Arial"/>
        <family val="2"/>
      </rPr>
      <t>El dominio de competencia</t>
    </r>
    <r>
      <rPr>
        <sz val="12"/>
        <rFont val="Arial"/>
        <family val="2"/>
      </rPr>
      <t xml:space="preserve"> se entiende como un articulador de competencias de la misma naturaleza.</t>
    </r>
  </si>
  <si>
    <r>
      <rPr>
        <b/>
        <sz val="12"/>
        <rFont val="Arial"/>
        <family val="2"/>
      </rPr>
      <t>5.</t>
    </r>
    <r>
      <rPr>
        <sz val="12"/>
        <rFont val="Arial"/>
        <family val="2"/>
      </rPr>
      <t xml:space="preserve"> La </t>
    </r>
    <r>
      <rPr>
        <b/>
        <sz val="12"/>
        <rFont val="Arial"/>
        <family val="2"/>
      </rPr>
      <t xml:space="preserve">formulación </t>
    </r>
    <r>
      <rPr>
        <sz val="12"/>
        <rFont val="Arial"/>
        <family val="2"/>
      </rPr>
      <t>de una competencia se compone de una acción (verbo en modo indicativo), un objeto sobre el cual recae la acción, un para qué y un referente de calidad.</t>
    </r>
  </si>
  <si>
    <r>
      <rPr>
        <b/>
        <sz val="12"/>
        <rFont val="Arial"/>
        <family val="2"/>
      </rPr>
      <t>6.</t>
    </r>
    <r>
      <rPr>
        <sz val="12"/>
        <rFont val="Arial"/>
        <family val="2"/>
      </rPr>
      <t xml:space="preserve"> El </t>
    </r>
    <r>
      <rPr>
        <b/>
        <sz val="12"/>
        <rFont val="Arial"/>
        <family val="2"/>
      </rPr>
      <t>criterio de competencia</t>
    </r>
    <r>
      <rPr>
        <sz val="12"/>
        <rFont val="Arial"/>
        <family val="2"/>
      </rPr>
      <t xml:space="preserve"> se refiere a los aprendizajes, conceptuales, procedimentales y axiológicos que se espera logre el estudiante en el curso. Se describe en perspectiva de los estudiantes.</t>
    </r>
  </si>
  <si>
    <r>
      <rPr>
        <b/>
        <sz val="12"/>
        <rFont val="Arial"/>
        <family val="2"/>
      </rPr>
      <t>7. Nivel de desarrollo</t>
    </r>
    <r>
      <rPr>
        <sz val="12"/>
        <rFont val="Arial"/>
        <family val="2"/>
      </rPr>
      <t xml:space="preserve"> se define como los alcances de cada criterio en términos del pensamiento receptivo, resolutivo, autónomo o estratégico.</t>
    </r>
  </si>
  <si>
    <r>
      <t xml:space="preserve">8. Modalidades y Métodos
</t>
    </r>
    <r>
      <rPr>
        <sz val="12"/>
        <rFont val="Arial"/>
        <family val="2"/>
      </rPr>
      <t>Modalidades: 
* Presencial (clases téoricas, seminarios, talleres, clases prácticas, laboratorios, prácticas externas, tutorías y propios del saber)
* Autónomo: Trabajo en grupo, trabajo individual
Métodos:                                                                                                                                                                                                                                    Método expositivo/Lección magistral, estudio de casos, aprendizaje basado en problemas (ABP), resolución de problemas, aprendizaje cooperativo, método de proyectos, aprendizaje colaborativo, contrato de aprendizaje (tiene como finalidad desarrollar el trabajo autónomo; este acuerdo se hace entre el estudiante y el profesor), métodos propios del saber.</t>
    </r>
  </si>
  <si>
    <r>
      <rPr>
        <b/>
        <sz val="12"/>
        <rFont val="Arial"/>
        <family val="2"/>
      </rPr>
      <t>9.</t>
    </r>
    <r>
      <rPr>
        <sz val="12"/>
        <rFont val="Arial"/>
        <family val="2"/>
      </rPr>
      <t xml:space="preserve"> La</t>
    </r>
    <r>
      <rPr>
        <b/>
        <sz val="12"/>
        <rFont val="Arial"/>
        <family val="2"/>
      </rPr>
      <t xml:space="preserve"> valoración de una competencia</t>
    </r>
    <r>
      <rPr>
        <sz val="12"/>
        <rFont val="Arial"/>
        <family val="2"/>
      </rPr>
      <t xml:space="preserve"> se entiende como el proceso de recopilación de evidencias para realizar un juicio, retroalimentar el proceso de aprendizaje y mejorar las capacidades humanas y competencias del estudiante de acuerdo con criterios definidos.</t>
    </r>
    <r>
      <rPr>
        <sz val="12"/>
        <color indexed="60"/>
        <rFont val="Arial"/>
        <family val="2"/>
      </rPr>
      <t xml:space="preserve"> </t>
    </r>
    <r>
      <rPr>
        <sz val="12"/>
        <rFont val="Arial"/>
        <family val="2"/>
      </rPr>
      <t xml:space="preserve">Permite determinar el grado de desarrollo y construcción de las capacidades humanas y las competencias mediante información cualitativa y cuantitativa, y proporcionar al estudiante información para que comprenda y autorregule su proceso de aprendizaje. Valorar, evaluar y calificar son diferentes. </t>
    </r>
    <r>
      <rPr>
        <b/>
        <sz val="12"/>
        <rFont val="Arial"/>
        <family val="2"/>
      </rPr>
      <t xml:space="preserve">Valorar </t>
    </r>
    <r>
      <rPr>
        <sz val="12"/>
        <rFont val="Arial"/>
        <family val="2"/>
      </rPr>
      <t xml:space="preserve">se centra en desempeños contextualizados. </t>
    </r>
    <r>
      <rPr>
        <b/>
        <sz val="12"/>
        <rFont val="Arial"/>
        <family val="2"/>
      </rPr>
      <t xml:space="preserve">Evaluar </t>
    </r>
    <r>
      <rPr>
        <sz val="12"/>
        <rFont val="Arial"/>
        <family val="2"/>
      </rPr>
      <t xml:space="preserve">se centra en conocimientos específicos y hechos.                                                                                                 
</t>
    </r>
    <r>
      <rPr>
        <b/>
        <sz val="12"/>
        <rFont val="Arial"/>
        <family val="2"/>
      </rPr>
      <t>Instructivo de valoración:</t>
    </r>
    <r>
      <rPr>
        <sz val="12"/>
        <rFont val="Arial"/>
        <family val="2"/>
      </rPr>
      <t xml:space="preserve">
Para efectos de la valoración de las Competencias, los Criterios de Competencia (entre 5 y 8 para programas de pregrado, y entre 3 y 5 para los de postgrado por cada competencia formulada) se convierten en indicadores de evaluación (Columna 1 de la Tabla de Valoración).
Los criterios de competencia, de acuerdo con la competencia que desarrollan, tienen distintos pesos en la evaluación, lo cual se establece mediante un ejercicio de ponderación, por porcentajes. El 100 del 100% se reparte en valores diferentes de acuerdo con el peso que se le pretende dar a cada uno de los criterios en los que se desglosa una competencia (Columna 2 de la Tabla de Valoración: los valores suman 100).
Si una competencia de despliega en 3 criterios, el 100 se divide en esos 3 criterios, ponderando; por ejemplo: Criterio 1: 30%; Criterio 2: 40%; Criterio 3: 30%. Lo mismo si se hace en el máximo de 8 criterios como se ejemplifica en la Tabla de Valoración.
El valor asignado para cada Criterio de Competencia en la Columna 2, se distribuye horizontalmente en la Columnas 3, 4 y 5, ponderando, de acuerdo con el tipo del contenido de evaluación: Conceptual (el pensar), Procedimental (el hacer), Axiológico (el valorar). La suma de los valores asignados en cada una de la filas de cada columna debe ser igual al valor asignado al Criterio en la Columna 2. 
En la  Columna 6, se relacionan las evidencias que hacen tangibles los productos que soportan los Criterios de Competencia. </t>
    </r>
  </si>
  <si>
    <t>STVCOLL</t>
  </si>
  <si>
    <t>STVDEPT</t>
  </si>
  <si>
    <t>STVGMOD_</t>
  </si>
  <si>
    <t>CÓDIGO MATERIA - NÚCLEO BÁSICO DE CONOCIMIENTO</t>
  </si>
  <si>
    <t>STVRTRM</t>
  </si>
  <si>
    <t>CODIFICACIÓN UNESCO</t>
  </si>
  <si>
    <t>PROGRAMA</t>
  </si>
  <si>
    <t>NIVEL DEL CURSO</t>
  </si>
  <si>
    <t>NIVEL DE DESARROLLO DEL CURSO</t>
  </si>
  <si>
    <t>MCNI - Adm.Negocios Internales-Med</t>
  </si>
  <si>
    <t>Seleccione de la lista el periodo</t>
  </si>
  <si>
    <t>MCAE</t>
  </si>
  <si>
    <t>MA - Arquitectura y Diseño-Med</t>
  </si>
  <si>
    <t>TCAC - Admon de Empresas CERES-Monter</t>
  </si>
  <si>
    <t>1011 - Agronomía</t>
  </si>
  <si>
    <t>11 - Intersemestral Primer Semestre</t>
  </si>
  <si>
    <t>1101 - LOAP - Aplicaciones de Lógica</t>
  </si>
  <si>
    <t>MCAP</t>
  </si>
  <si>
    <t>Inducción</t>
  </si>
  <si>
    <t>Receptivo</t>
  </si>
  <si>
    <t>MD - Derecho Ciencias Políticas-Med</t>
  </si>
  <si>
    <t>MCAE - Admon de Empresas-Med</t>
  </si>
  <si>
    <t>2 - Asistencia</t>
  </si>
  <si>
    <t>1012 - Zootecnia</t>
  </si>
  <si>
    <t>21 - Intersemestral Segundo Semestre</t>
  </si>
  <si>
    <t>1102 - LODE - Lógica deductiva</t>
  </si>
  <si>
    <t>MCAR</t>
  </si>
  <si>
    <t>ME - Economía,Admon y Negocios-Med</t>
  </si>
  <si>
    <t>PCAE - Admón de Empresas-pal</t>
  </si>
  <si>
    <t>3 - Cualitativa (Aprobado-Reprobado)</t>
  </si>
  <si>
    <t>1013 - Medicina Veterinaria</t>
  </si>
  <si>
    <t>30 - Periodo Extensión Académica</t>
  </si>
  <si>
    <t>1103 - LOGE - Lógica general</t>
  </si>
  <si>
    <t>MCAT</t>
  </si>
  <si>
    <t>Especialización</t>
  </si>
  <si>
    <t>MF - Teología Filosofía y Hum-Med</t>
  </si>
  <si>
    <t>TCAE - Admón.de Empresas Diurno-Mon</t>
  </si>
  <si>
    <t>4 - Cualitativa (E, S, A, I, D)</t>
  </si>
  <si>
    <t>2024 - Artes Plásticas, Visuales y afines</t>
  </si>
  <si>
    <t>50 - Periodo Formacion Continua</t>
  </si>
  <si>
    <t>1104 - LOIN - Lógica inductiva</t>
  </si>
  <si>
    <t>MCBC</t>
  </si>
  <si>
    <t>Maestría</t>
  </si>
  <si>
    <t>Estratégico</t>
  </si>
  <si>
    <t>TCAN - Admón.de Empresas Nocturno-Mon</t>
  </si>
  <si>
    <t>2025 - Artes Representativas</t>
  </si>
  <si>
    <t>01 - Primer Periodo Anual Cal B</t>
  </si>
  <si>
    <t>1105 - LOME - Metodología</t>
  </si>
  <si>
    <t>MCCO</t>
  </si>
  <si>
    <t>Doctorado</t>
  </si>
  <si>
    <t>MM - Ciencias de la Salud-Med</t>
  </si>
  <si>
    <t>MCAR - Arquitectura-Med</t>
  </si>
  <si>
    <t>2026 - Publicidad y afines</t>
  </si>
  <si>
    <t>10 - Primer Semestre</t>
  </si>
  <si>
    <t>1201 - MAAL - Algebra</t>
  </si>
  <si>
    <t>MCCS</t>
  </si>
  <si>
    <t>Centro de lenguas</t>
  </si>
  <si>
    <t>MP - Educación y Pedagogía-Med</t>
  </si>
  <si>
    <t>TCAR - Arquitectura-Mon</t>
  </si>
  <si>
    <t>2027 - Diseño</t>
  </si>
  <si>
    <t>41 - Primer Semestre Postgrado</t>
  </si>
  <si>
    <t>1202 - MAAF - Análisis y Análisis funcional</t>
  </si>
  <si>
    <t>MCCT</t>
  </si>
  <si>
    <t>Formación continua</t>
  </si>
  <si>
    <t>MS - Ciencias Sociales-Med</t>
  </si>
  <si>
    <t>MCBC - Bto. Canónico en Filosofía-Med</t>
  </si>
  <si>
    <t>2028 - Música</t>
  </si>
  <si>
    <t>02 - Segundo Periodo Anual Cal B</t>
  </si>
  <si>
    <t>1203 - MACP - Ciencia de los ordenadores</t>
  </si>
  <si>
    <t>MCDE</t>
  </si>
  <si>
    <t>PD - Derecho-Pal</t>
  </si>
  <si>
    <t>TCCS - Cción Social-Periodismo-Mon</t>
  </si>
  <si>
    <t>2270 - Otros Programas Asociados a Bellas Artes</t>
  </si>
  <si>
    <t>20 - Segundo Semestre</t>
  </si>
  <si>
    <t>1204 - MAGM - Geometría</t>
  </si>
  <si>
    <t>MCDG</t>
  </si>
  <si>
    <t>PE - Ciencias Estratégicas-pal</t>
  </si>
  <si>
    <t>MJLE - Centro  Lenguas-Med</t>
  </si>
  <si>
    <t>3313 - Educación</t>
  </si>
  <si>
    <t>42 - Segundo Semestre Postgrado</t>
  </si>
  <si>
    <t>1205 - MATN - Teoría de los números</t>
  </si>
  <si>
    <t>MCDI</t>
  </si>
  <si>
    <t>PI - Ingenieria Palmira-pal</t>
  </si>
  <si>
    <t>MJCB - Centro Ciencia Básica-Med</t>
  </si>
  <si>
    <t>4440 - Bacteriología</t>
  </si>
  <si>
    <t>1206 - MAAN - Análisis Numérico</t>
  </si>
  <si>
    <t>MCDV</t>
  </si>
  <si>
    <t>TD - Derecho Ciencias Sociales-Mon</t>
  </si>
  <si>
    <t>MJHU - Centro de Humanidades-Med</t>
  </si>
  <si>
    <t>4441 - Enfermería</t>
  </si>
  <si>
    <t>1207 - MAIO - Investigación operativa</t>
  </si>
  <si>
    <t>MCED</t>
  </si>
  <si>
    <t>TE - Ciencias Estratégicas-Mon</t>
  </si>
  <si>
    <t>MJDM - Centro Dllo. Empresarial-Med</t>
  </si>
  <si>
    <t>4442 - Terapias</t>
  </si>
  <si>
    <t>1208 - MAPR - Probabilidad</t>
  </si>
  <si>
    <t>MCEE</t>
  </si>
  <si>
    <t>TI - Ingeniería y Arquitectura-Mon</t>
  </si>
  <si>
    <t>MCPO - Ciencias Políticas-Med</t>
  </si>
  <si>
    <t>4444 - Instrumentación Quirúrgica</t>
  </si>
  <si>
    <t>1209 - MAES - Estadística</t>
  </si>
  <si>
    <t>MCEL</t>
  </si>
  <si>
    <t>MCCS - Comunicación Social-Period-Med</t>
  </si>
  <si>
    <t>4445 - Medicina</t>
  </si>
  <si>
    <t>1210 - MATO - Topología</t>
  </si>
  <si>
    <t>MCEN</t>
  </si>
  <si>
    <t>MCDE - Derecho-Med</t>
  </si>
  <si>
    <t>4446 - Nutrición y Dietética</t>
  </si>
  <si>
    <t>2101 - ASCM - Cosmología y Cosmogonía</t>
  </si>
  <si>
    <t>MCEQ</t>
  </si>
  <si>
    <t>TCDE - Derecho-Mon</t>
  </si>
  <si>
    <t>4447 - Odontología</t>
  </si>
  <si>
    <t>2102 - ASMI - Medio Interplanetario</t>
  </si>
  <si>
    <t>MCER</t>
  </si>
  <si>
    <t>PCDE - Derecho-Pal</t>
  </si>
  <si>
    <t>4448 - Optometría, otros Programas de Ciencias de la Salud</t>
  </si>
  <si>
    <t>2103 - ASOP - Astronomía Optica</t>
  </si>
  <si>
    <t>MCFI</t>
  </si>
  <si>
    <t>MCDV - Diseño de Vestuario-Med</t>
  </si>
  <si>
    <t>4450 - Salud Pública</t>
  </si>
  <si>
    <t>2104 - ASPL - Planetología</t>
  </si>
  <si>
    <t>MCFL</t>
  </si>
  <si>
    <t>MCDG - Diseño Gráfico-Med</t>
  </si>
  <si>
    <t>5553 - Antropología, Artes Liberales</t>
  </si>
  <si>
    <t>2105 - ASRA - Radioastronomía</t>
  </si>
  <si>
    <t>MCHI</t>
  </si>
  <si>
    <t>MCDI - Diseño Industrial-Med</t>
  </si>
  <si>
    <t>5555 - Bibliotecología, otros de Ciencias Sociales y Humanas</t>
  </si>
  <si>
    <t>2106 - ASSS - Sistema Solar</t>
  </si>
  <si>
    <t>MCIA</t>
  </si>
  <si>
    <t>MDMB - Doc Ccias Med Área Bioing-Med</t>
  </si>
  <si>
    <t>5556 - Ciencia Política, Relaciones Internacionales</t>
  </si>
  <si>
    <t>2201 - FIAC - Acústica</t>
  </si>
  <si>
    <t>MCIB</t>
  </si>
  <si>
    <t>MDMC - Doc Ccias Med Área Cardio-Med</t>
  </si>
  <si>
    <t>5557 - Comunicación Social, Periodismo y afines</t>
  </si>
  <si>
    <t>2202 - FIEM - Electromagnetismo</t>
  </si>
  <si>
    <t>MCIC</t>
  </si>
  <si>
    <t>MDMM - Doc Ccias Med Área Microb-Med</t>
  </si>
  <si>
    <t>5558 - Deportes, Educación Física y Recreación</t>
  </si>
  <si>
    <t>2203 - FIEL - Electrónica</t>
  </si>
  <si>
    <t>MCID</t>
  </si>
  <si>
    <t>MDFL - Doc en Filosofía-Med</t>
  </si>
  <si>
    <t>5559 - Derecho y afines</t>
  </si>
  <si>
    <t>2204 - FIFL - Física de Fluidos</t>
  </si>
  <si>
    <t>MCIE</t>
  </si>
  <si>
    <t>MDTL - Doc en Teología-Med</t>
  </si>
  <si>
    <t>5561 - Formación Relacionada con el Campo Militar o Policial</t>
  </si>
  <si>
    <t>2205 - FIMC - Mecánica</t>
  </si>
  <si>
    <t>MCIG</t>
  </si>
  <si>
    <t>MDEM - Doc Ing Área En,Ter y medi-Med</t>
  </si>
  <si>
    <t>5562 - Geografía, Historia</t>
  </si>
  <si>
    <t>2206 - FIML - Física Molecular</t>
  </si>
  <si>
    <t>MCII</t>
  </si>
  <si>
    <t>MDET - Doc Ing Área Ener y Termo-Med</t>
  </si>
  <si>
    <t>5564 - Lenguas Modernas, Literatura, Lingüística y afines</t>
  </si>
  <si>
    <t>2207 - FINL - Física Atómica y Nuclear</t>
  </si>
  <si>
    <t>MCIL</t>
  </si>
  <si>
    <t>MDIT - Doc Ing Área Telecomunica-Med</t>
  </si>
  <si>
    <t>5566 - Psicología</t>
  </si>
  <si>
    <t>2208 - FINC - Nucleónica</t>
  </si>
  <si>
    <t>MCIM</t>
  </si>
  <si>
    <t>MDCT - Doc.Canónico Teología-Med</t>
  </si>
  <si>
    <t>5568 - Filosofía, Teología y afines</t>
  </si>
  <si>
    <t>2209 - FIOP - Optica</t>
  </si>
  <si>
    <t>MCIN</t>
  </si>
  <si>
    <t>MDCS - Doct en ciencias sociales-Med</t>
  </si>
  <si>
    <t>5569 - Sociología, Trabajo Social y afines</t>
  </si>
  <si>
    <t>2210 - FIQF - Química Física</t>
  </si>
  <si>
    <t>MCIO</t>
  </si>
  <si>
    <t>MDAU - Doct en ing área automátic-Med</t>
  </si>
  <si>
    <t>6069 - Administración</t>
  </si>
  <si>
    <t>2211 - FIES - Física del Estado Sólido</t>
  </si>
  <si>
    <t>MCIQ</t>
  </si>
  <si>
    <t>MDNM - Doct en ing área nuev mat-Med</t>
  </si>
  <si>
    <t>6611 - Economía</t>
  </si>
  <si>
    <t>2212 - FITE - Física Teórica</t>
  </si>
  <si>
    <t>MCIT</t>
  </si>
  <si>
    <t>MDOE - Doct en ing área opt y esp-Med</t>
  </si>
  <si>
    <t>6612 - Contaduría Pública</t>
  </si>
  <si>
    <t>2213 - FITR - Termodinámica</t>
  </si>
  <si>
    <t>MCIZ</t>
  </si>
  <si>
    <t>MDGT - Doct Gtion tecn y la Innov-Med</t>
  </si>
  <si>
    <t>8818 - Arquitectura</t>
  </si>
  <si>
    <t>2214 - FIUC - Unidades y constantes</t>
  </si>
  <si>
    <t>MCLA</t>
  </si>
  <si>
    <t>MDCD - Doct. en Ciencias Medicas-Med</t>
  </si>
  <si>
    <t>8819 - Ingeniería Biomédica y afines</t>
  </si>
  <si>
    <t>NUEVO - FION - Física de las Ondas</t>
  </si>
  <si>
    <t>MCLD</t>
  </si>
  <si>
    <t>MDEI - Doctorado en Ingeniería-Med</t>
  </si>
  <si>
    <t>8820 - Ingeniería Ambiental, Sanitaria y afines</t>
  </si>
  <si>
    <t>2301 - QMQA - Química Analítica</t>
  </si>
  <si>
    <t>MCLE</t>
  </si>
  <si>
    <t>MDFC - Doctorado Filosofía(Civil)-Med</t>
  </si>
  <si>
    <t>8821 - Ingeniería Administrativa y afines</t>
  </si>
  <si>
    <t>2302 - QMBQ - Bioquímica</t>
  </si>
  <si>
    <t>MCLF</t>
  </si>
  <si>
    <t>TCEM - Economía CERES Monteliba - Mon</t>
  </si>
  <si>
    <t>8822 - Ingeniería Agrícola, Forestal y afines</t>
  </si>
  <si>
    <t>2303 - QMQI - Química Inorgánica</t>
  </si>
  <si>
    <t>MCLI</t>
  </si>
  <si>
    <t>MCED - Economía y Desarrollo-Med</t>
  </si>
  <si>
    <t>8823 - Ingeniería Agroindustrial, Alimentos y afines</t>
  </si>
  <si>
    <t>2304 - QMQM - Química Macromolecular</t>
  </si>
  <si>
    <t>MCLL</t>
  </si>
  <si>
    <t>TCED - Economía y Desarrollo-Mon</t>
  </si>
  <si>
    <t>8824 - Ingeniería Agronómica, Pecuaria y afines</t>
  </si>
  <si>
    <t>2305 - QMQN - Química Nuclear</t>
  </si>
  <si>
    <t>MCLP</t>
  </si>
  <si>
    <t>PCED - Economía y Desarrollo-Pal</t>
  </si>
  <si>
    <t>8825 - Ingeniería Civil y afines</t>
  </si>
  <si>
    <t>2306 - QMQO - Química Orgánica</t>
  </si>
  <si>
    <t>MCLR</t>
  </si>
  <si>
    <t>MCCO - Economía-Med</t>
  </si>
  <si>
    <t>8826 - Ingeniería de Minas, Metalurgia y afines</t>
  </si>
  <si>
    <t>2307 - QMQF - Química Física</t>
  </si>
  <si>
    <t>MCLS</t>
  </si>
  <si>
    <t>TCCO - Economía-Montería</t>
  </si>
  <si>
    <t>2401 - CVBA - Zoología</t>
  </si>
  <si>
    <t>MCME</t>
  </si>
  <si>
    <t>MCCT - Economía-Toribio-Cauca-Med</t>
  </si>
  <si>
    <t>8828 - Ingeniería Eléctrica y afines</t>
  </si>
  <si>
    <t>2402 - CVAF - Antropología Física</t>
  </si>
  <si>
    <t>MCNE</t>
  </si>
  <si>
    <t>MCER - Ed.Ciencias Relig.Convenio-Med</t>
  </si>
  <si>
    <t>8829 - Ingeniería Electrónica, Telecomunicaciones y afines</t>
  </si>
  <si>
    <t>2404 - CVBT - Biomatemáticas</t>
  </si>
  <si>
    <t>MCNI</t>
  </si>
  <si>
    <t>MCEN - Enfermería-Med</t>
  </si>
  <si>
    <t>8830 - Ingeniería Industrial y afines</t>
  </si>
  <si>
    <t>2405 - CVBR - Biometría</t>
  </si>
  <si>
    <t>MCNS</t>
  </si>
  <si>
    <t>MEAR - Esp Anes-Cuida Inten-Rean-Med</t>
  </si>
  <si>
    <t>8831 - Ingeniería Mecánica y afines</t>
  </si>
  <si>
    <t>2406 - CVBF - Biofísica</t>
  </si>
  <si>
    <t>MCNT</t>
  </si>
  <si>
    <t>MEAC - Esp Anestes Cardiov y Torá-Med</t>
  </si>
  <si>
    <t>8832 - Ingeniería Química y afines</t>
  </si>
  <si>
    <t>2407 - CVBC - Biología Celular</t>
  </si>
  <si>
    <t>MCPC</t>
  </si>
  <si>
    <t>MEAV - Esp Anestesia Cardiovascul-Med</t>
  </si>
  <si>
    <t>8833 - Otras Ingenierías</t>
  </si>
  <si>
    <t>2408 - CVET - Etología</t>
  </si>
  <si>
    <t>MCPL</t>
  </si>
  <si>
    <t>MEAL - Esp Angiol Clin y Lab Vasc-Med</t>
  </si>
  <si>
    <t>9934 - Biología, Microbiología y afines</t>
  </si>
  <si>
    <t>2409 - CVGN - Genética</t>
  </si>
  <si>
    <t>MCPO</t>
  </si>
  <si>
    <t>MECI - Esp Cardio Intervencionis-Med</t>
  </si>
  <si>
    <t>9935 - Física</t>
  </si>
  <si>
    <t>2410 - CVBH - Biología Humana</t>
  </si>
  <si>
    <t>MCPU</t>
  </si>
  <si>
    <t>MECH - Esp Cardiol Interv y Hemod-Med</t>
  </si>
  <si>
    <t>9936 - Geología, otros Programas de Ciencias Naturales</t>
  </si>
  <si>
    <t>2411 - CVFH - Fisiología Humana</t>
  </si>
  <si>
    <t>MCTC</t>
  </si>
  <si>
    <t>MECP - Esp Cardiología Pediátrica-Med</t>
  </si>
  <si>
    <t>9937 - Matemáticas, Estadística y afines</t>
  </si>
  <si>
    <t>2412 - CVIN - Inmunología</t>
  </si>
  <si>
    <t>MCTE</t>
  </si>
  <si>
    <t>MECD - Esp Cción y period digital-Med</t>
  </si>
  <si>
    <t>9939 - Química y afines</t>
  </si>
  <si>
    <t>2413 - CVBI - Entomología</t>
  </si>
  <si>
    <t>MCTS</t>
  </si>
  <si>
    <t>MECR - Esp Ciencias Religión-Med</t>
  </si>
  <si>
    <t>2414 - CVMC - Microbiología</t>
  </si>
  <si>
    <t>MDAU</t>
  </si>
  <si>
    <t>MECC - Esp Cirugía Cardiovascular-Med</t>
  </si>
  <si>
    <t>2415 - CVBM - Biología Molecular</t>
  </si>
  <si>
    <t>MDCD</t>
  </si>
  <si>
    <t>MECG - Esp Cirugía General-Med</t>
  </si>
  <si>
    <t>2416 - CVPL - Paleontología</t>
  </si>
  <si>
    <t>MDCS</t>
  </si>
  <si>
    <t>MEFM - Esp Dcho de Familia(USB)Med</t>
  </si>
  <si>
    <t>2417 - CVBP - Botánica</t>
  </si>
  <si>
    <t>MDCT</t>
  </si>
  <si>
    <t>MEFI - Esp Dcho Flia Inf y Adoles-Med</t>
  </si>
  <si>
    <t>2418 - CVRD - Radiobiología</t>
  </si>
  <si>
    <t>MDEI</t>
  </si>
  <si>
    <t>MEDN - Esp Der Fin y de Negocios-Med</t>
  </si>
  <si>
    <t>2419 - CVSM - Simbiosis</t>
  </si>
  <si>
    <t>MDEM</t>
  </si>
  <si>
    <t>MEFV - Esp Der Fina. Mcdo.Valores-Med</t>
  </si>
  <si>
    <t>2420 - CVVR - Virología</t>
  </si>
  <si>
    <t>MDET</t>
  </si>
  <si>
    <t>TEDT - Esp Der.Tbjo y Seg Social-Mon</t>
  </si>
  <si>
    <t>2501 - TECA - Ciencias de la Atmósfera</t>
  </si>
  <si>
    <t>MDFC</t>
  </si>
  <si>
    <t>MEDT - Esp Der.Tbjo. y Seg Social-Med</t>
  </si>
  <si>
    <t>2502 - TECL - Climatología</t>
  </si>
  <si>
    <t>MDFL</t>
  </si>
  <si>
    <t>MEDA - Esp Derecho Administrativo-Med</t>
  </si>
  <si>
    <t>2503 - TEGQ - Geoquímica</t>
  </si>
  <si>
    <t>MDGT</t>
  </si>
  <si>
    <t>TEDA - Esp Derecho Administrativo-Mon</t>
  </si>
  <si>
    <t>2504 - TEGD - Geodesia</t>
  </si>
  <si>
    <t>MDIT</t>
  </si>
  <si>
    <t>MEDK - Esp Derecho Canónico-Med</t>
  </si>
  <si>
    <t>2505 - TEGG - Geografía</t>
  </si>
  <si>
    <t>MDMB</t>
  </si>
  <si>
    <t>MEDC - Esp Derecho Comercial-Med</t>
  </si>
  <si>
    <t>2506 - TEGL - Geología</t>
  </si>
  <si>
    <t>MDMC</t>
  </si>
  <si>
    <t>MEDF - Esp Derecho de Familia-Med</t>
  </si>
  <si>
    <t>2507 - TEGF - Geofísica</t>
  </si>
  <si>
    <t>MDMM</t>
  </si>
  <si>
    <t>TEDF - Esp Derecho de Familia-Mon</t>
  </si>
  <si>
    <t>2508 - TEHD - Hidrología</t>
  </si>
  <si>
    <t>MDNM</t>
  </si>
  <si>
    <t>MEDI - Esp Derecho Inmobiliario-Med</t>
  </si>
  <si>
    <t>2509 - TEMT - Meteorología</t>
  </si>
  <si>
    <t>MDOE</t>
  </si>
  <si>
    <t>MEDL - Esp Derecho Laboral-Med</t>
  </si>
  <si>
    <t>2510 - TEON - Oceanografía</t>
  </si>
  <si>
    <t>MDTL</t>
  </si>
  <si>
    <t>MEDM - Esp Derecho Médico-Med</t>
  </si>
  <si>
    <t>2511 - TECS - Ciencias del suelo</t>
  </si>
  <si>
    <t>MEAC</t>
  </si>
  <si>
    <t>TEDP - Esp Derecho Penal-Mon</t>
  </si>
  <si>
    <t>2512 - TECE - Ciencias del Espacio</t>
  </si>
  <si>
    <t>MEAG</t>
  </si>
  <si>
    <t>MEDH - Esp Derecho Procesal-Med</t>
  </si>
  <si>
    <t>3101 - CAQA - Química Agrícola</t>
  </si>
  <si>
    <t>MEAI</t>
  </si>
  <si>
    <t>TEDH - Esp Derecho Procesal-Mon</t>
  </si>
  <si>
    <t>3102 - CAIA - Ingeniería Agrícola</t>
  </si>
  <si>
    <t>MEAL</t>
  </si>
  <si>
    <t>MEDB - Esp Derecho Tributario-Med</t>
  </si>
  <si>
    <t>3103 - CAAG - Agronomía</t>
  </si>
  <si>
    <t>MEAN</t>
  </si>
  <si>
    <t>MEDR - Esp Dermatología-Med</t>
  </si>
  <si>
    <t>3104 - CAAD - Producción Animal</t>
  </si>
  <si>
    <t>MEAR</t>
  </si>
  <si>
    <t>MEDD - Esp Dida Ccias:Fis Mat Sem-Med</t>
  </si>
  <si>
    <t>3105 - CAPS - Peces y Fauna silvestre</t>
  </si>
  <si>
    <t>MEAS</t>
  </si>
  <si>
    <t>MEMT - Esp Didac Ccias: Fis-Mat-Mnlla</t>
  </si>
  <si>
    <t>3106 - CAFL - Florestas</t>
  </si>
  <si>
    <t>MEAT</t>
  </si>
  <si>
    <t>MECF - Esp Didac Ccias:Fisica-Mat-Med</t>
  </si>
  <si>
    <t>3107 - CAHT - Horticultura</t>
  </si>
  <si>
    <t>MEAV</t>
  </si>
  <si>
    <t>MEEI - Esp Dis Esttegia e Innova-Med</t>
  </si>
  <si>
    <t>3108 - CAFP - Fitopatología</t>
  </si>
  <si>
    <t>MEBD</t>
  </si>
  <si>
    <t>MEDS - Esp Doctri Scial Iglesia-Med</t>
  </si>
  <si>
    <t>3109 - CACV - Ciencias veterinarias</t>
  </si>
  <si>
    <t>MEBI</t>
  </si>
  <si>
    <t>MEDO - Esp Dolor y Cuidado Palia-Med</t>
  </si>
  <si>
    <t>3201 - CMCL - Ciencias clínicas</t>
  </si>
  <si>
    <t>MECA</t>
  </si>
  <si>
    <t>MEEA - Esp Educación Ambiental-Med</t>
  </si>
  <si>
    <t>3202 - CMEP - Epidemiología</t>
  </si>
  <si>
    <t>MECC</t>
  </si>
  <si>
    <t>MEEW - Esp Educación Ambiental-Mnlla</t>
  </si>
  <si>
    <t>3203 - CMMF - Medicina Forense</t>
  </si>
  <si>
    <t>MECD</t>
  </si>
  <si>
    <t>MEAT - Esp en Automática-Med</t>
  </si>
  <si>
    <t>3204 - CMMT - Medicina del Trabajo</t>
  </si>
  <si>
    <t>MECF</t>
  </si>
  <si>
    <t>MEBI - Esp en Biotecnología-Med</t>
  </si>
  <si>
    <t>3205 - CMMI - Medicina Interna</t>
  </si>
  <si>
    <t>MECG</t>
  </si>
  <si>
    <t>MECA - Esp en Cardiología Adultos-Med</t>
  </si>
  <si>
    <t>3206 - CMCN - Ciencias de la Nutrición</t>
  </si>
  <si>
    <t>MECH</t>
  </si>
  <si>
    <t>MEPL - ESP EN CUIDADOS PALIATIVOS-MED</t>
  </si>
  <si>
    <t>3207 - CMPT - Patología</t>
  </si>
  <si>
    <t>MECI</t>
  </si>
  <si>
    <t>MEDP - Esp en Derecho Privado-Med</t>
  </si>
  <si>
    <t>3208 - CMFD - Farmacodinámica</t>
  </si>
  <si>
    <t>MECO</t>
  </si>
  <si>
    <t>MEED - Esp en Ecocardiografía-Med</t>
  </si>
  <si>
    <t>3209 - CMFM - Farmacología</t>
  </si>
  <si>
    <t>MECP</t>
  </si>
  <si>
    <t>MEER - Esp en Ergonomía-Med</t>
  </si>
  <si>
    <t>3210 - CMMP - Medicina preventiva</t>
  </si>
  <si>
    <t>MECR</t>
  </si>
  <si>
    <t>MEET - Esp en Ética-Med</t>
  </si>
  <si>
    <t>3211 - CMPS - Psiquiatría</t>
  </si>
  <si>
    <t>MECU</t>
  </si>
  <si>
    <t>TEET - Esp en Ética-Mon</t>
  </si>
  <si>
    <t>3212 - CMSP - Salud Pública</t>
  </si>
  <si>
    <t>MEDA</t>
  </si>
  <si>
    <t>MEFA - Esp en Familia - Med</t>
  </si>
  <si>
    <t>3213 - CMCR - Cirugía</t>
  </si>
  <si>
    <t>MEDB</t>
  </si>
  <si>
    <t>MEGC - Esp en Gases Combustibles-Med</t>
  </si>
  <si>
    <t>3213 - CMTX - Toxicología</t>
  </si>
  <si>
    <t>MEDC</t>
  </si>
  <si>
    <t>MEGJ - Esp en Gerencia Internac -Med</t>
  </si>
  <si>
    <t>3299 - CMOT - Otras especialidades ciencias médicas</t>
  </si>
  <si>
    <t>MEDD</t>
  </si>
  <si>
    <t>PEPU - Esp en Gerencia Pública-Pal</t>
  </si>
  <si>
    <t>NUEVO - CMCE - Cuidado de enfermería</t>
  </si>
  <si>
    <t>MEDE</t>
  </si>
  <si>
    <t>MEGR - Esp en Gerencia-Med</t>
  </si>
  <si>
    <t>3301 - CTAR - Ingeniería y Tecnología Aeronáutica</t>
  </si>
  <si>
    <t>MEDF</t>
  </si>
  <si>
    <t>TEGE - Esp en Gerencia-Mon</t>
  </si>
  <si>
    <t>3302 - CTBB - Tecnología Bioquímica</t>
  </si>
  <si>
    <t>MEDH</t>
  </si>
  <si>
    <t>TEGR - Esp en Gerencia-Mon</t>
  </si>
  <si>
    <t>3303 - CTIQ - Ingeniería y Tecnología químicas</t>
  </si>
  <si>
    <t>MEDI</t>
  </si>
  <si>
    <t>MEGW - Esp en Gerencia-Oriente</t>
  </si>
  <si>
    <t>MEDK</t>
  </si>
  <si>
    <t>PEGR - Esp en Gerencia-Pal</t>
  </si>
  <si>
    <t>3305 - CTCN - Tecnología de la construcción</t>
  </si>
  <si>
    <t>MEDL</t>
  </si>
  <si>
    <t>MEGH - Esp en Gestión Humana-Med</t>
  </si>
  <si>
    <t>3306 - CTIT - Ingeniería y Tecnología eléctricas</t>
  </si>
  <si>
    <t>MEDM</t>
  </si>
  <si>
    <t>MEHU - Esp en gestión humana-Med</t>
  </si>
  <si>
    <t>3307 - CTEL - Tecnología electrónica</t>
  </si>
  <si>
    <t>MEDN</t>
  </si>
  <si>
    <t>MEHE - Esp en Hematología-Med</t>
  </si>
  <si>
    <t>3308 - CTAM - Ingeniería y Tecnología del Medio Ambiente</t>
  </si>
  <si>
    <t>MEDO</t>
  </si>
  <si>
    <t>MEHM - Esp en Humanismo-Med</t>
  </si>
  <si>
    <t>3309 - CTAL - Tecnología de los Alimentos</t>
  </si>
  <si>
    <t>MEDP</t>
  </si>
  <si>
    <t>DEIN - Esp en Intelig de Negocios-Btá</t>
  </si>
  <si>
    <t>3310 - CTID - Tecnología Industrial</t>
  </si>
  <si>
    <t>MEDR</t>
  </si>
  <si>
    <t>MENG - Esp en Intelig de Negocios-Med</t>
  </si>
  <si>
    <t>3311 - CTIN - Tecnología de la instrumentación</t>
  </si>
  <si>
    <t>MEDS</t>
  </si>
  <si>
    <t>MENE - Esp en Nefrología-Med</t>
  </si>
  <si>
    <t>3312 - CTMT - Tecnología de Materiales</t>
  </si>
  <si>
    <t>MEDT</t>
  </si>
  <si>
    <t>MENM - Esp en Neumología-Med</t>
  </si>
  <si>
    <t>3313 - CTIM - Ingeniería y Tecnología Mecánicas</t>
  </si>
  <si>
    <t>MEEA</t>
  </si>
  <si>
    <t>MEOF - Esp en Oftalmología-Med</t>
  </si>
  <si>
    <t>3314 - CTMD - Tecnología Médica</t>
  </si>
  <si>
    <t>MEEC</t>
  </si>
  <si>
    <t>MEPT - Esp en Pediatría-Med</t>
  </si>
  <si>
    <t>3315 - CTML - Tecnología Metalúrgica</t>
  </si>
  <si>
    <t>MEED</t>
  </si>
  <si>
    <t>MEPS - Esp en Psiquiatría-Med</t>
  </si>
  <si>
    <t>3316 - CTPM - Tecnología de productos metálicos</t>
  </si>
  <si>
    <t>MEEG</t>
  </si>
  <si>
    <t>MESG - Esp en Seguros-Med</t>
  </si>
  <si>
    <t>3317 - CTVM - Tecnología de los vehículos de motor</t>
  </si>
  <si>
    <t>MEEH</t>
  </si>
  <si>
    <t>METL - Esp en Telecomunicaciones-Med</t>
  </si>
  <si>
    <t>3318 - CTMN - Tecnología Minera</t>
  </si>
  <si>
    <t>MEEI</t>
  </si>
  <si>
    <t>METG - Esp en Teología-Med</t>
  </si>
  <si>
    <t>3319 - CTNV - Tecnología Naval</t>
  </si>
  <si>
    <t>MEEM</t>
  </si>
  <si>
    <t>MEMO - Esp Endoc, Diab, Met Adult-Med</t>
  </si>
  <si>
    <t>3320 - CTNC - Tecnología Nuclear</t>
  </si>
  <si>
    <t>MEEN</t>
  </si>
  <si>
    <t>MEEC - Esp Enfer Cardiovascular-Med</t>
  </si>
  <si>
    <t>3321 - CTPC - Tecnología del Carbón y del Petróleo</t>
  </si>
  <si>
    <t>MEEP</t>
  </si>
  <si>
    <t>MEIN - Esp enfermedades infeccios-Med</t>
  </si>
  <si>
    <t>3322 - CTEN - Tecnología Energética</t>
  </si>
  <si>
    <t>MEER</t>
  </si>
  <si>
    <t>MEEG - Esp Enseñ Ingles(Sopetran)-Med</t>
  </si>
  <si>
    <t>3323 - CTFR - Tecnología de los Ferrocarriles</t>
  </si>
  <si>
    <t>MEET</t>
  </si>
  <si>
    <t>MEEN - Esp Enseñanza Inglés-Med</t>
  </si>
  <si>
    <t>3324 - CTES - Tecnología Espacial</t>
  </si>
  <si>
    <t>MEEW</t>
  </si>
  <si>
    <t>MEEH - Esp Enseñanza Inglés-Mnlla</t>
  </si>
  <si>
    <t>3325 - CTTL - Tecnología de las comunicaciones</t>
  </si>
  <si>
    <t>MEFA</t>
  </si>
  <si>
    <t>TEEN - Esp Enseñanza Inglés-Mon</t>
  </si>
  <si>
    <t>3326 - CTTX - Tecnología Textil</t>
  </si>
  <si>
    <t>MEFC</t>
  </si>
  <si>
    <t>MEGP - Esp Esttegia Gcial y Prosp-Med</t>
  </si>
  <si>
    <t>3327 - CTST - Tecnología de los sistemas de transporte</t>
  </si>
  <si>
    <t>MEFI</t>
  </si>
  <si>
    <t>MEEP - Esp Estudios Políticos-Med</t>
  </si>
  <si>
    <t>3328 - CTTC - Procesos Tecnológicos</t>
  </si>
  <si>
    <t>MEFM</t>
  </si>
  <si>
    <t>MEFP - Esp Finanzas Públicas-Med</t>
  </si>
  <si>
    <t>3329 - CTRU - Planificación urbana</t>
  </si>
  <si>
    <t>MEFP</t>
  </si>
  <si>
    <t>MEFC - Esp Fnzas Corp y Mdo Capit-Med</t>
  </si>
  <si>
    <t>NUEVO - CTTP - Tecnología de producto</t>
  </si>
  <si>
    <t>MEFV</t>
  </si>
  <si>
    <t>MEGA - Esp Gcia Amb-Gstion Dllo-Med</t>
  </si>
  <si>
    <t>5101 - ANCL - Antropología cultural</t>
  </si>
  <si>
    <t>MEFZ</t>
  </si>
  <si>
    <t>MEGG - Esp Gcia Cción Organiza-Med</t>
  </si>
  <si>
    <t>5102 - ANEE - Etnografía u Etnología</t>
  </si>
  <si>
    <t>MEGA</t>
  </si>
  <si>
    <t>MEGD - Esp Gcia de Proyectos-Med</t>
  </si>
  <si>
    <t>5103 - ANSC - Antropología social</t>
  </si>
  <si>
    <t>MEGB</t>
  </si>
  <si>
    <t>PEGD - Esp Gcia de Proyectos-Pal</t>
  </si>
  <si>
    <t>5201 - DMFR - Fertilidad</t>
  </si>
  <si>
    <t>MEGC</t>
  </si>
  <si>
    <t>TEGS - Esp Gcia Econ y Fin Salud-Mon</t>
  </si>
  <si>
    <t>5202 - DMGR - Demografía general</t>
  </si>
  <si>
    <t>MEGD</t>
  </si>
  <si>
    <t>MEGS - Esp Gcia Econ. y Fin Salud-Med</t>
  </si>
  <si>
    <t>5203 - DMGE - Demografía geográfica</t>
  </si>
  <si>
    <t>MEGE</t>
  </si>
  <si>
    <t>PEGT - Esp Gcia Empre. Turisticas-Pal</t>
  </si>
  <si>
    <t>5204 - DMHT - Demografía histórica</t>
  </si>
  <si>
    <t>MEGF</t>
  </si>
  <si>
    <t>MEGE - Esp Gcia para Ing(Armenia)-Med</t>
  </si>
  <si>
    <t>5205 - DMMT - Mortalidad</t>
  </si>
  <si>
    <t>MEGG</t>
  </si>
  <si>
    <t>MEGN - Esp Gcia para Ingenieros-Med</t>
  </si>
  <si>
    <t>5206 - DMPB - Características de la población</t>
  </si>
  <si>
    <t>MEGH</t>
  </si>
  <si>
    <t>TEGN - Esp Gcia para Ingenieros-Mon</t>
  </si>
  <si>
    <t>5207 - DMPE - Tamaño de la población y evolución demográfica</t>
  </si>
  <si>
    <t>MEGI</t>
  </si>
  <si>
    <t>METN - Esp Gcia Sist y Tecnol-Armenia</t>
  </si>
  <si>
    <t>5301 - CEFP - Política Fiscal y Hacienda pública nacionales</t>
  </si>
  <si>
    <t>MEGJ</t>
  </si>
  <si>
    <t>MEST - Esp Gcia Sitemas y Tecno-Med</t>
  </si>
  <si>
    <t>5302 - CEEN - Econometría</t>
  </si>
  <si>
    <t>MEGK</t>
  </si>
  <si>
    <t>METH - Esp Gcia Talento Humano-Med</t>
  </si>
  <si>
    <t>5303 - CECN - Contabilidad económica</t>
  </si>
  <si>
    <t>MEGM</t>
  </si>
  <si>
    <t>PETH - Esp Gcia Talento Humano-Pal</t>
  </si>
  <si>
    <t>5304 - CEAE - Actividad económica</t>
  </si>
  <si>
    <t>MEGN</t>
  </si>
  <si>
    <t>TETH - Esp Gcia. Talento Humano-Mon</t>
  </si>
  <si>
    <t>5305 - CESE - Sistemas económicos</t>
  </si>
  <si>
    <t>MEGO</t>
  </si>
  <si>
    <t>MEGI - Esp Geoeco y Gcia Internal-Med</t>
  </si>
  <si>
    <t>5306 - CECT - Economía del cambio tecnológico</t>
  </si>
  <si>
    <t>MEGP</t>
  </si>
  <si>
    <t>MEGK - Esp Gerencia de Marketing-Med</t>
  </si>
  <si>
    <t>5307 - CETE - Teoría económica</t>
  </si>
  <si>
    <t>MEGR</t>
  </si>
  <si>
    <t>TEGK - Esp Gerencia de Marketing-Mon</t>
  </si>
  <si>
    <t>5308 - CEEG - Economía general</t>
  </si>
  <si>
    <t>MEGS</t>
  </si>
  <si>
    <t>TEGM - Esp Gerencia de Marketing-Mon</t>
  </si>
  <si>
    <t>5309 - CEIP - Organización industrial y sector público</t>
  </si>
  <si>
    <t>MEGT</t>
  </si>
  <si>
    <t>PEGK - Esp Gerencia de Marketing-Pal</t>
  </si>
  <si>
    <t>5310 - CEEI - Economía internacional</t>
  </si>
  <si>
    <t>MEGW</t>
  </si>
  <si>
    <t>MEGM - Esp Gerencia de Mercadeo-Med</t>
  </si>
  <si>
    <t>5311 - CEOE - Organización y gestión de empresas</t>
  </si>
  <si>
    <t>MEHC</t>
  </si>
  <si>
    <t>TEGD - Esp Gerencia de Proyectos-Mon</t>
  </si>
  <si>
    <t>Nuevo - CEEM - Publicidad y mercadeo</t>
  </si>
  <si>
    <t>MEHE</t>
  </si>
  <si>
    <t>TEAM - Esp Gerencia del Ambiente-Mon</t>
  </si>
  <si>
    <t>5312 - CEES - Economía sectorial</t>
  </si>
  <si>
    <t>MEHM</t>
  </si>
  <si>
    <t>MEGF - Esp Gerencia Financiera-Med</t>
  </si>
  <si>
    <t>5401 - GEEC - Geografía económica</t>
  </si>
  <si>
    <t>MEHU</t>
  </si>
  <si>
    <t>TEGF - Esp Gerencia Financiera-Mon</t>
  </si>
  <si>
    <t>5402 - GEHT - Geografía histórica</t>
  </si>
  <si>
    <t>MEIA</t>
  </si>
  <si>
    <t>PEGF - Esp Gerencia Financiera-Pal</t>
  </si>
  <si>
    <t>5403 - GEHM - Geografía humana</t>
  </si>
  <si>
    <t>MEIB</t>
  </si>
  <si>
    <t>MEGB - Esp Gerencia Pública-Med</t>
  </si>
  <si>
    <t>5404 - GERG - Geografía regional</t>
  </si>
  <si>
    <t>MEIC</t>
  </si>
  <si>
    <t>TEGB - Esp Gerencia Pública-Mon</t>
  </si>
  <si>
    <t>5501 - HTBG - Biografías</t>
  </si>
  <si>
    <t>MEIM</t>
  </si>
  <si>
    <t>PEGB - Esp Gerencia Pública-Pal</t>
  </si>
  <si>
    <t>5502 - HTGR - Historia general</t>
  </si>
  <si>
    <t>MEIN</t>
  </si>
  <si>
    <t>MEGO - Esp Ginecolo y Obstetricia-Med</t>
  </si>
  <si>
    <t>5503 - HTPA - Historia por Países</t>
  </si>
  <si>
    <t>MEIT</t>
  </si>
  <si>
    <t>MEIT - Esp Gstión Innovación Tecn-Med</t>
  </si>
  <si>
    <t>5504 - HTEP - Historia por épocas</t>
  </si>
  <si>
    <t>MELF</t>
  </si>
  <si>
    <t>MEEM - Esp Gtion Empresarial Arq-Med</t>
  </si>
  <si>
    <t>5505 - HTCA - Ciencias auxiliares de la Historia</t>
  </si>
  <si>
    <t>MELP</t>
  </si>
  <si>
    <t>TEEM - Esp Gtion Empresarial Arq-Mon</t>
  </si>
  <si>
    <t>5506 - HTES - Historias especializadas</t>
  </si>
  <si>
    <t>MELT</t>
  </si>
  <si>
    <t>MESP - Esp Gtión Serv Pub Domicil-Med</t>
  </si>
  <si>
    <t>5599 - HTOT - Otras especialidades históricas</t>
  </si>
  <si>
    <t>MEMC</t>
  </si>
  <si>
    <t>MEAG - Esp Gtion y Dllo Agroind-Med</t>
  </si>
  <si>
    <t>5601 - CJLC - Derecho Canónico</t>
  </si>
  <si>
    <t>MEMD</t>
  </si>
  <si>
    <t>MEHC - Esp Historia Cristianismo-Med</t>
  </si>
  <si>
    <t>5602 - CJTM - Teoría y métodos generales del Derecho</t>
  </si>
  <si>
    <t>MEMI</t>
  </si>
  <si>
    <t>MEPM - Esp Ing Amb Ctrol Pres M.A-Med</t>
  </si>
  <si>
    <t>5603 - CJLI - Derecho internacional</t>
  </si>
  <si>
    <t>MEMM</t>
  </si>
  <si>
    <t>MEIA - Esp Ingeniería Aeronáutica-Med</t>
  </si>
  <si>
    <t>5604 - CJOL - Organización jurídica</t>
  </si>
  <si>
    <t>MEMO</t>
  </si>
  <si>
    <t>MEIM - Esp Ingeniería Ambiental-Med</t>
  </si>
  <si>
    <t>5605 - CJLL - Derecho y legislación nacionales</t>
  </si>
  <si>
    <t>MEMP</t>
  </si>
  <si>
    <t>TEIM - Esp Ingeniería Ambiental-Mon</t>
  </si>
  <si>
    <t>5701 - LGAP - Lingüística aplicada</t>
  </si>
  <si>
    <t>MEMS</t>
  </si>
  <si>
    <t>MEIB - Esp Ingeniería Biomédica-Med</t>
  </si>
  <si>
    <t>5702 - LGDC - Lingüística diacrónica</t>
  </si>
  <si>
    <t>MEMT</t>
  </si>
  <si>
    <t>MELF - Esp Leg Fciera Mcdo Vlres-Med</t>
  </si>
  <si>
    <t>5703 - LGGR - Geografía lingüística</t>
  </si>
  <si>
    <t>MENE</t>
  </si>
  <si>
    <t>MELT - Esp Legislación Tributaria-Med</t>
  </si>
  <si>
    <t>5704 - LGTL - Teoría lingüística</t>
  </si>
  <si>
    <t>MENF</t>
  </si>
  <si>
    <t>TELT - Esp Legislación Tributaria-Mon</t>
  </si>
  <si>
    <t>5705 - LGSN - Lingüística sincrónica</t>
  </si>
  <si>
    <t>MENG</t>
  </si>
  <si>
    <t>METX - Esp Lite Pdcion Tex-Hipe-Mnlla</t>
  </si>
  <si>
    <t>5801 - PGME - Teoría y métodos educativos</t>
  </si>
  <si>
    <t>MENI</t>
  </si>
  <si>
    <t>MELP - Esp Lite Pdción Tex-Hipert-Med</t>
  </si>
  <si>
    <t>5802 - PGPE - Organización y Planificación de la educación</t>
  </si>
  <si>
    <t>MENM</t>
  </si>
  <si>
    <t>MEMC - Esp Med Crític Cuid Intens-Med</t>
  </si>
  <si>
    <t>5803 - PGPP - Formación y empleo de profesores</t>
  </si>
  <si>
    <t>MEOF</t>
  </si>
  <si>
    <t>MEMD - Esp Medicina Deportiva-Med</t>
  </si>
  <si>
    <t>Nuevo - 5804 - PGFP - Formación Profesional</t>
  </si>
  <si>
    <t>MEOP</t>
  </si>
  <si>
    <t>MEMI - Esp Medicina Interna-Med</t>
  </si>
  <si>
    <t>5901 - CPRI - Relaciones internacionales</t>
  </si>
  <si>
    <t>MEOR</t>
  </si>
  <si>
    <t>MEMM - Esp Medicina Materno Fetal-Med</t>
  </si>
  <si>
    <t>5902 - CPCP - Políticas sectoriales</t>
  </si>
  <si>
    <t>MEOT</t>
  </si>
  <si>
    <t>MEMP - Esp Microbiología Parasito-Med</t>
  </si>
  <si>
    <t>5903 - CPID - Ideologías políticas</t>
  </si>
  <si>
    <t>MEPA</t>
  </si>
  <si>
    <t>MEMS - Esp Model Simul Optim Sist-Med</t>
  </si>
  <si>
    <t>5904 - CPIP - Instituciones políticas</t>
  </si>
  <si>
    <t>MEPC</t>
  </si>
  <si>
    <t>MENI - Esp Negocios Internacio-Med</t>
  </si>
  <si>
    <t>5905 - CPVP - Vida política</t>
  </si>
  <si>
    <t>MEPD</t>
  </si>
  <si>
    <t>MEOT - Esp Ortopedia y Traumatol-Med</t>
  </si>
  <si>
    <t>5906 - CPSC - Sociología política</t>
  </si>
  <si>
    <t>MEPE</t>
  </si>
  <si>
    <t>MEOR - Esp Otorrinolaringología-Med</t>
  </si>
  <si>
    <t>5907 - CPSP - Sistemas políticos</t>
  </si>
  <si>
    <t>MEPH</t>
  </si>
  <si>
    <t>MEPE - Esp Periodismo Electro-Med</t>
  </si>
  <si>
    <t>5908 - CPTP - Teoría política</t>
  </si>
  <si>
    <t>MEPI</t>
  </si>
  <si>
    <t>MEPU - Esp Periodismo Urbano-Med</t>
  </si>
  <si>
    <t>5909 - CPAP - Administración pública</t>
  </si>
  <si>
    <t>MEPL</t>
  </si>
  <si>
    <t>TEPP - Esp Planea.Ppación.Comunit-Mon</t>
  </si>
  <si>
    <t>5910 - CPOP - Opinión pública</t>
  </si>
  <si>
    <t>MEPM</t>
  </si>
  <si>
    <t>MEAI - Esp Proy Arq Interior-Med</t>
  </si>
  <si>
    <t>6101 - PSAN - Psicología de la anormalidad</t>
  </si>
  <si>
    <t>MEPN</t>
  </si>
  <si>
    <t>MEPC - Esp Psic Clin Salud Mtal-Med</t>
  </si>
  <si>
    <t>6102 - PSNA - Psicología del niño y del adolescente</t>
  </si>
  <si>
    <t>MEPQ</t>
  </si>
  <si>
    <t>MEPA - Esp psic clínica y salud m-Med</t>
  </si>
  <si>
    <t>6103 - PSAO - Asesoramiento y orientación psicológica</t>
  </si>
  <si>
    <t>MEPS</t>
  </si>
  <si>
    <t>MEPD - Esp Psicología Aplica Dep-Med</t>
  </si>
  <si>
    <t>6104 - PSED - Psicopedagogía</t>
  </si>
  <si>
    <t>MEPT</t>
  </si>
  <si>
    <t>MEPI - Esp Psiq Infant-Adolesc-Med</t>
  </si>
  <si>
    <t>6105 - PSEM - Evaluación y diagnóstico en Psicología</t>
  </si>
  <si>
    <t>MEPU</t>
  </si>
  <si>
    <t>MERI - Esp Radiología e Imág Diag-Med</t>
  </si>
  <si>
    <t>6106 - PSEP - Psicología experimental</t>
  </si>
  <si>
    <t>MERC</t>
  </si>
  <si>
    <t>MERM - Esp Robótica y Mecatrónica-Med</t>
  </si>
  <si>
    <t>6107 - PSGN - Psicología general</t>
  </si>
  <si>
    <t>MERI</t>
  </si>
  <si>
    <t>DESI - Esp Seguridad Informática-Btá</t>
  </si>
  <si>
    <t>6108 - PSGR - Psicología geriátrica</t>
  </si>
  <si>
    <t>MERM</t>
  </si>
  <si>
    <t>MESE - Esp Sist de TyD Energ Elec-Med</t>
  </si>
  <si>
    <t>6109 - PSPO - Psicología industrial</t>
  </si>
  <si>
    <t>MESB</t>
  </si>
  <si>
    <t>METS - Esp Tbjo Social Familiar-Med</t>
  </si>
  <si>
    <t>6110 - PSPR - Parapsicología</t>
  </si>
  <si>
    <t>MESC</t>
  </si>
  <si>
    <t>METC - Esp Tend Contemp Pedago-Med</t>
  </si>
  <si>
    <t>6111 - PSPS - Personalidad</t>
  </si>
  <si>
    <t>MESE</t>
  </si>
  <si>
    <t>METF - Esp Terapia Familiar Sist-Med</t>
  </si>
  <si>
    <t>6112 - PSTS - Estudio psicológico de cuestiones sociales</t>
  </si>
  <si>
    <t>MESG</t>
  </si>
  <si>
    <t>MEAN - Esp. Anestes y Reanimació -Med</t>
  </si>
  <si>
    <t>6113 - PSPF - Psicofarmacología</t>
  </si>
  <si>
    <t>MESI</t>
  </si>
  <si>
    <t>MECU - Esp. Comunicación Urbana-Med</t>
  </si>
  <si>
    <t>6114 - PSSC - Psicología social</t>
  </si>
  <si>
    <t>MESN</t>
  </si>
  <si>
    <t>MEDE - Esp. Dis Int Env. Emp. Emb-Med</t>
  </si>
  <si>
    <t>6115 - PSAM - Psicología Ambiental</t>
  </si>
  <si>
    <t>MESP</t>
  </si>
  <si>
    <t>MESB - Esp. Diseño de mobiliario-Med</t>
  </si>
  <si>
    <t>6201 - ALAR - Arquitectura</t>
  </si>
  <si>
    <t>MESS</t>
  </si>
  <si>
    <t>MEGT - Esp. en Gestión Ambiental-Med</t>
  </si>
  <si>
    <t>6202 - ALCL - Teoría, Análisis y Crítica literarios</t>
  </si>
  <si>
    <t>MEST</t>
  </si>
  <si>
    <t>MESN - Esp. en Sist Integ Gestión-Med</t>
  </si>
  <si>
    <t>6203 - ALBA - Teoría, Análisis y Crítica de las Bellas Artes</t>
  </si>
  <si>
    <t>METC</t>
  </si>
  <si>
    <t>TEGP - Esp. Gcia de Proyectos-Mon</t>
  </si>
  <si>
    <t>6301 - SOCL - Sociología cultural</t>
  </si>
  <si>
    <t>METF</t>
  </si>
  <si>
    <t>MEIC - Esp. Gcia Financiera-Cúc-Med</t>
  </si>
  <si>
    <t>6302 - SOEX - Sociología experimental</t>
  </si>
  <si>
    <t>METG</t>
  </si>
  <si>
    <t>MEPQ - Esp. Gcia Pública-Armenia-Med</t>
  </si>
  <si>
    <t>6303 - SOGN - Sociología general</t>
  </si>
  <si>
    <t>METH</t>
  </si>
  <si>
    <t>TEGU - Esp. Gerencia Pública-Mon</t>
  </si>
  <si>
    <t>6304 - SOPI - Problemas internacionales</t>
  </si>
  <si>
    <t>METL</t>
  </si>
  <si>
    <t>MESS - Esp. Psic. Social Aplicada-Med</t>
  </si>
  <si>
    <t>6305 - SOMA - Sociología matemática</t>
  </si>
  <si>
    <t>METM</t>
  </si>
  <si>
    <t>MERC - Esp. Resp. Civil y Seguros-Med</t>
  </si>
  <si>
    <t>6306 - SOOC - Sociología del Trabajo</t>
  </si>
  <si>
    <t>METN</t>
  </si>
  <si>
    <t>MESI - Esp. Seguridad Informática-Med</t>
  </si>
  <si>
    <t>6307 - SOCD - Cambio y desarrollo social</t>
  </si>
  <si>
    <t>METS</t>
  </si>
  <si>
    <t>TECG - Esp.Cognición y Neuroapren-Mon</t>
  </si>
  <si>
    <t>6308 - SOCS - Comunicaciones sociales</t>
  </si>
  <si>
    <t>METX</t>
  </si>
  <si>
    <t>MEPH - Esp.Dcho Penal y Procesal -Med</t>
  </si>
  <si>
    <t>6309 - SOGS - Grupos sociales</t>
  </si>
  <si>
    <t>MJCB</t>
  </si>
  <si>
    <t>MEOP - Esp.Ortop y Trauma PedrÍat-Med</t>
  </si>
  <si>
    <t>6310 - SOPS - Problemas y conflictos sociales</t>
  </si>
  <si>
    <t>MJDM</t>
  </si>
  <si>
    <t>MEPN - Esp.Psiquiatría de Enlace-Med</t>
  </si>
  <si>
    <t>6311 - SOIH - Sociología de los asentamientos humanos</t>
  </si>
  <si>
    <t>MJHU</t>
  </si>
  <si>
    <t>METM - Esp.Telecomunicacion Maniz-Med</t>
  </si>
  <si>
    <t>NUEVO - SODC - Diseño y comunicación</t>
  </si>
  <si>
    <t>MJLE</t>
  </si>
  <si>
    <t>MESC - Esp.Trans y Distr Ener-Cuc-Med</t>
  </si>
  <si>
    <t>7101 - ETCL - Ética clásica</t>
  </si>
  <si>
    <t>MMAD</t>
  </si>
  <si>
    <t>MEAS - Especializac. Anestesiolog-Med</t>
  </si>
  <si>
    <t>7102 - ETIN - Ética de individuos</t>
  </si>
  <si>
    <t>MMAP</t>
  </si>
  <si>
    <t>MEFZ - Especializac. en finanzas-Med</t>
  </si>
  <si>
    <t>7103 - ETGR - Ética de grupo</t>
  </si>
  <si>
    <t>MMBB</t>
  </si>
  <si>
    <t>MEBD - Especialización en Bioderecho</t>
  </si>
  <si>
    <t>7104 - ETPR - Ética prospectiva</t>
  </si>
  <si>
    <t>MMBE</t>
  </si>
  <si>
    <t>MCEL - Estudios Literarios-Med</t>
  </si>
  <si>
    <t>7201 - FLCO - Filosofía del conocimiento</t>
  </si>
  <si>
    <t>MMBI</t>
  </si>
  <si>
    <t>MCFL - Filosofía y Letras-Med</t>
  </si>
  <si>
    <t>7202 - FLAF - Antropología filosófica</t>
  </si>
  <si>
    <t>MMCC</t>
  </si>
  <si>
    <t>MCFI - Filosofía-Med</t>
  </si>
  <si>
    <t>7203 - FLGN - Filosofía general</t>
  </si>
  <si>
    <t>MMCD</t>
  </si>
  <si>
    <t>MCHI - Historia-Med</t>
  </si>
  <si>
    <t>7204 - FLSF - Sistemas filosóficos</t>
  </si>
  <si>
    <t>MMCM</t>
  </si>
  <si>
    <t>MCIA - Ing Aeronáutica-Med</t>
  </si>
  <si>
    <t>7205 - FLFC - Filosofía de la Ciencia</t>
  </si>
  <si>
    <t>MMCN</t>
  </si>
  <si>
    <t>MCIG - Ing Agroindustrial-Med</t>
  </si>
  <si>
    <t>7206 - FLNA - Filosofía de la Naturaleza</t>
  </si>
  <si>
    <t>MMCO</t>
  </si>
  <si>
    <t>TCIG - Ing Agroindustrial-Mon</t>
  </si>
  <si>
    <t>7207 - FLSC - Filosofía social</t>
  </si>
  <si>
    <t>MMCR</t>
  </si>
  <si>
    <t>TCIV - Ing Civil-Mon</t>
  </si>
  <si>
    <t>7208 - FLDC - Doctrinas filosóficas</t>
  </si>
  <si>
    <t>MMCU</t>
  </si>
  <si>
    <t>MCIC - Ing de Telecomunicaciones-Med</t>
  </si>
  <si>
    <t>NUEVO - TLBL - Teología Biblica</t>
  </si>
  <si>
    <t>MMDC</t>
  </si>
  <si>
    <t>NUEVO - TLST - Teología Sistemática</t>
  </si>
  <si>
    <t>MMDE</t>
  </si>
  <si>
    <t>MCIE - Ing Eléctrica-Med</t>
  </si>
  <si>
    <t>MMDG</t>
  </si>
  <si>
    <t>MCIL - Ing Electrónica-Med</t>
  </si>
  <si>
    <t>MMDI</t>
  </si>
  <si>
    <t>TCIL - Ing Electrónica-Mon</t>
  </si>
  <si>
    <t>MMDJ</t>
  </si>
  <si>
    <t>MCEQ - Ing en Calidad-Med</t>
  </si>
  <si>
    <t>MMDM</t>
  </si>
  <si>
    <t>MCII - Ing Industrial-Med</t>
  </si>
  <si>
    <t>MMDO</t>
  </si>
  <si>
    <t>MCIN - Ing Informática-Med</t>
  </si>
  <si>
    <t>MMDP</t>
  </si>
  <si>
    <t>TCIN - Ing Informática-Mon</t>
  </si>
  <si>
    <t>MMDR</t>
  </si>
  <si>
    <t>MCIM - Ing Mecánica-Med</t>
  </si>
  <si>
    <t>MMDS</t>
  </si>
  <si>
    <t>TCIM - Ing Mecánica-Mon</t>
  </si>
  <si>
    <t>MMDT</t>
  </si>
  <si>
    <t>MCIQ - Ing Química-Med</t>
  </si>
  <si>
    <t>MMEA</t>
  </si>
  <si>
    <t>TCIB - Ing Sanitaria y Ambiental-Mon</t>
  </si>
  <si>
    <t>MMED</t>
  </si>
  <si>
    <t>MCIB - Ing Sistemas e Informatica-Med</t>
  </si>
  <si>
    <t>MMEE</t>
  </si>
  <si>
    <t>MCIT - Ing Textil-Med</t>
  </si>
  <si>
    <t>MMEG</t>
  </si>
  <si>
    <t>MCIZ - Ingenieri Industrial Maniz-Med</t>
  </si>
  <si>
    <t>MMEI</t>
  </si>
  <si>
    <t>MCID - Ingenieria Administrativa-Med</t>
  </si>
  <si>
    <t>MMEM</t>
  </si>
  <si>
    <t>MCNT - Ingeniería en Nanotecnología</t>
  </si>
  <si>
    <t>MMEO</t>
  </si>
  <si>
    <t>TCII - Ingeniería Industrial-Mon</t>
  </si>
  <si>
    <t>MMEP</t>
  </si>
  <si>
    <t>PCII - Ingenieria Industrial-Pal</t>
  </si>
  <si>
    <t>MMES</t>
  </si>
  <si>
    <t>MCNS - Lic en Ccias Naturales Sem-Med</t>
  </si>
  <si>
    <t>MMEV</t>
  </si>
  <si>
    <t>MCLR - Lic en Educa Religiosa-Med</t>
  </si>
  <si>
    <t>MMEZ</t>
  </si>
  <si>
    <t>MCLE - Lic en Educacion Artistica-Med</t>
  </si>
  <si>
    <t>MMFE</t>
  </si>
  <si>
    <t>MCLL - Lic en Filosofía y Letras-Med</t>
  </si>
  <si>
    <t>MMFL</t>
  </si>
  <si>
    <t>MCLF - Lic en Filosofía-Med</t>
  </si>
  <si>
    <t>MMFS</t>
  </si>
  <si>
    <t>MCLI - Lic en Ingles-Español-Med</t>
  </si>
  <si>
    <t>MMGH</t>
  </si>
  <si>
    <t>MCEE - Lic Etnoeducación IMA-Med</t>
  </si>
  <si>
    <t>MMGP</t>
  </si>
  <si>
    <t>MCLD - Lic. Ingles y Español Dis-Med</t>
  </si>
  <si>
    <t>MMGT</t>
  </si>
  <si>
    <t>MMFS - Lic.Can Teo-For Sac ITEPAL-Med</t>
  </si>
  <si>
    <t>MMIA</t>
  </si>
  <si>
    <t>MMES - Lic.Can. Teol. Espirituali-Med</t>
  </si>
  <si>
    <t>MMIB</t>
  </si>
  <si>
    <t>MMPQ - Lic.Can.Teo.Pas.Cat-ITEPAL-Med</t>
  </si>
  <si>
    <t>MMIC</t>
  </si>
  <si>
    <t>MMCR - Lic.Can.Teol.Ccias Religió-Med</t>
  </si>
  <si>
    <t>MMIM</t>
  </si>
  <si>
    <t>MMDE - Lic.Can.Teol.Dirección Esp-Med</t>
  </si>
  <si>
    <t>MMIN</t>
  </si>
  <si>
    <t>MMDI - Lic.Can.Teol.Doct.Soc.Igle-Med</t>
  </si>
  <si>
    <t>MMIQ</t>
  </si>
  <si>
    <t>MMSE - Lic.Can.Teol.Sagra Escrit-Med</t>
  </si>
  <si>
    <t>MMIR</t>
  </si>
  <si>
    <t>MMBE - Lic.Can.Teología Bioética-Med</t>
  </si>
  <si>
    <t>MMIS</t>
  </si>
  <si>
    <t>MMFL - Lic.Can.Teología Familia-Med</t>
  </si>
  <si>
    <t>MMIT</t>
  </si>
  <si>
    <t>MMTM - Lic.Can.Teología Moral-Med</t>
  </si>
  <si>
    <t>MMLI</t>
  </si>
  <si>
    <t>MCLS - Lic.Etnoeduc. Sociales Dis-Med</t>
  </si>
  <si>
    <t>MMMR</t>
  </si>
  <si>
    <t>MCLP - Lic.Etnoeduc.Enf.Soc (Put)-Med</t>
  </si>
  <si>
    <t>MMNP</t>
  </si>
  <si>
    <t>MCLA - Lic.Etnoeduc.Leticia Amazo-Med</t>
  </si>
  <si>
    <t>MMNV</t>
  </si>
  <si>
    <t>MCAP - Lic.Etnoeduc.Pto.Asis.Put-Med</t>
  </si>
  <si>
    <t>MMPA</t>
  </si>
  <si>
    <t>MCTC - Lic.Etnoeduc.Toribio Cauca-Med</t>
  </si>
  <si>
    <t>MMPC</t>
  </si>
  <si>
    <t>MMPA - Ma Proc apren ens seg leng-Med</t>
  </si>
  <si>
    <t>MMPD</t>
  </si>
  <si>
    <t>MMCO - Ma. Comunicación Organizac-Med</t>
  </si>
  <si>
    <t>MMPI</t>
  </si>
  <si>
    <t>MMDJ - Ma. en Diseño del Paisaje-Med</t>
  </si>
  <si>
    <t>MMPP</t>
  </si>
  <si>
    <t>MMNV - Maestría  en Educación-VIc-Med</t>
  </si>
  <si>
    <t>MMPQ</t>
  </si>
  <si>
    <t>MMCM - Maestría Ciencias Médicas-Med</t>
  </si>
  <si>
    <t>MMPT</t>
  </si>
  <si>
    <t>MMDP - Maestría Derecho Privado-Med</t>
  </si>
  <si>
    <t>MMSC</t>
  </si>
  <si>
    <t>MMAD - Maestría en Administración-Med</t>
  </si>
  <si>
    <t>MMSD</t>
  </si>
  <si>
    <t>TMAD - Maestría en Administración-Mon</t>
  </si>
  <si>
    <t>MMSE</t>
  </si>
  <si>
    <t>MMBI - Maestría en Biotecnología-Med</t>
  </si>
  <si>
    <t>MMTA</t>
  </si>
  <si>
    <t>MMDS - Maestria en Desarrollo-Med</t>
  </si>
  <si>
    <t>MMTC</t>
  </si>
  <si>
    <t>MMEZ - Maestría en Educación Amaz-Med</t>
  </si>
  <si>
    <t>MMTD</t>
  </si>
  <si>
    <t>MMED - Maestría en Educación-Med</t>
  </si>
  <si>
    <t>MMTE</t>
  </si>
  <si>
    <t>MMNP - Maestría en Educación-Put-Med</t>
  </si>
  <si>
    <t>MMTF</t>
  </si>
  <si>
    <t>MMEV - Maestría en Educación-Vic-Med</t>
  </si>
  <si>
    <t>MMTG</t>
  </si>
  <si>
    <t>MMEI - Maestría en Ingeniería-Med</t>
  </si>
  <si>
    <t>MMTL</t>
  </si>
  <si>
    <t>MMLI - Maestría en Literatura-Med</t>
  </si>
  <si>
    <t>MMTM</t>
  </si>
  <si>
    <t>MMMR - Maestría en Mercados-Med</t>
  </si>
  <si>
    <t>MMTP</t>
  </si>
  <si>
    <t>MMPP - Maestría en psicopedagogía-Med</t>
  </si>
  <si>
    <t>MMTS</t>
  </si>
  <si>
    <t>MMPT - Maestría en psicoterapia-Med</t>
  </si>
  <si>
    <t>MMUR</t>
  </si>
  <si>
    <t>MMTL - Maestría en Teología-Med</t>
  </si>
  <si>
    <t>MPPR</t>
  </si>
  <si>
    <t>MMTG - Maestría en tv digital-Med</t>
  </si>
  <si>
    <t>PCAE</t>
  </si>
  <si>
    <t>MCME - Medicina-Med</t>
  </si>
  <si>
    <t>PCDE</t>
  </si>
  <si>
    <t>MMTC - Mg Teol Enf Com Soc-Med</t>
  </si>
  <si>
    <t>PCED</t>
  </si>
  <si>
    <t>MMPC - Mg Teol Enf Past Catequeti-Med</t>
  </si>
  <si>
    <t>PCII</t>
  </si>
  <si>
    <t>MMTP - Mg Teología (Pastoral)-Med</t>
  </si>
  <si>
    <t>PCPN</t>
  </si>
  <si>
    <t>MMBB - Mtría Bioética y Bioderech-Med</t>
  </si>
  <si>
    <t>PCPS</t>
  </si>
  <si>
    <t>MMCN - Mtría Ccias Nat y Matemát-Med</t>
  </si>
  <si>
    <t>PCPU</t>
  </si>
  <si>
    <t>MMCC - Mtría comportam del consum-Med</t>
  </si>
  <si>
    <t>PEGB</t>
  </si>
  <si>
    <t>MMDT - Mtría Dis Produc Text Tecn-Med</t>
  </si>
  <si>
    <t>PEGD</t>
  </si>
  <si>
    <t>MMGP - Mtría Dis y Gtión Proc Ind-Med</t>
  </si>
  <si>
    <t>PEGF</t>
  </si>
  <si>
    <t>MMDG - Mtria Dllo Área Gcia Dllo-Med</t>
  </si>
  <si>
    <t>PEGK</t>
  </si>
  <si>
    <t>MMDO - Mtria Dllo Área Org y Gcia-Med</t>
  </si>
  <si>
    <t>PEGR</t>
  </si>
  <si>
    <t>MMDR - Mtria Dllo Gcia Dllo Reg -Med</t>
  </si>
  <si>
    <t>PEGT</t>
  </si>
  <si>
    <t>PMEA - Mtría en Administración- Pal</t>
  </si>
  <si>
    <t>PEPU</t>
  </si>
  <si>
    <t>MMAP - Mtria en Arq. Crit y Proye-Med</t>
  </si>
  <si>
    <t>PETH</t>
  </si>
  <si>
    <t>MMCD - Mtría en Cción Digital-Med</t>
  </si>
  <si>
    <t>PMEA</t>
  </si>
  <si>
    <t>MMCU - Mtría en Cine Documental-Med</t>
  </si>
  <si>
    <t>PMEP</t>
  </si>
  <si>
    <t>MMDC - Mtría en Derecho-Med</t>
  </si>
  <si>
    <t>TCAC</t>
  </si>
  <si>
    <t>MMEM - Mtría en Educación Vaupés-Med</t>
  </si>
  <si>
    <t>TCAE</t>
  </si>
  <si>
    <t>MMEG - Mtría en Educación-Guainía-Med</t>
  </si>
  <si>
    <t>TCAN</t>
  </si>
  <si>
    <t>TMED - Mtría en Educación-Mon</t>
  </si>
  <si>
    <t>TCAR</t>
  </si>
  <si>
    <t>MMEE - Mtría en Educación-Mon-Med</t>
  </si>
  <si>
    <t>TCCO</t>
  </si>
  <si>
    <t>DMMR - Mtría en Mercados-Btá</t>
  </si>
  <si>
    <t>TCCS</t>
  </si>
  <si>
    <t>MMSC - Mtría en psicología social-Med</t>
  </si>
  <si>
    <t>TCDE</t>
  </si>
  <si>
    <t>PMEP - Mtría en Psicopedagogía-Pal</t>
  </si>
  <si>
    <t>TCED</t>
  </si>
  <si>
    <t>MMSD - Mtría en Sostenibilidad-Med</t>
  </si>
  <si>
    <t>TCEM</t>
  </si>
  <si>
    <t>MMTF - Mtria en Terapia Familiar-Med</t>
  </si>
  <si>
    <t>TCIB</t>
  </si>
  <si>
    <t>MMUR - Mtría en Urbanismo-Med</t>
  </si>
  <si>
    <t>TCIG</t>
  </si>
  <si>
    <t>MMEO - Mtría Enfermer Oncológica-Med</t>
  </si>
  <si>
    <t>TCII</t>
  </si>
  <si>
    <t>MMEP - Mtria Estudios Políticos-Med</t>
  </si>
  <si>
    <t>TCIL</t>
  </si>
  <si>
    <t>MMFE - Mtría Filosofía Área Ética-Med</t>
  </si>
  <si>
    <t>TCIM</t>
  </si>
  <si>
    <t>MMGT - Mtría Gestión Tecnológica-Med</t>
  </si>
  <si>
    <t>TCIN</t>
  </si>
  <si>
    <t>MMGH - Mtría Gtión Hmna Org Salud-Med</t>
  </si>
  <si>
    <t>TCIV</t>
  </si>
  <si>
    <t>MMPI - Mtría Gtión Propie Intelec-Med</t>
  </si>
  <si>
    <t>TCPS</t>
  </si>
  <si>
    <t>MMIA - Mtria Ing Área Ambiental-Med</t>
  </si>
  <si>
    <t>TEAM</t>
  </si>
  <si>
    <t>MMIR - Mtría Ing Área Automática-Med</t>
  </si>
  <si>
    <t>TECG</t>
  </si>
  <si>
    <t>MMDM - Mtria Ing Área D. Mecanic-Med</t>
  </si>
  <si>
    <t>TEDA</t>
  </si>
  <si>
    <t>MMIB - Mtria Ing Área I Biomedica-Med</t>
  </si>
  <si>
    <t>TEDF</t>
  </si>
  <si>
    <t>MMIQ - Mtria Ing Área Ing Quimica-Med</t>
  </si>
  <si>
    <t>TEDH</t>
  </si>
  <si>
    <t>MMIM - Mtria Ing Área Model y Sim-Med</t>
  </si>
  <si>
    <t>TEDP</t>
  </si>
  <si>
    <t>MMIN - Mtria Ing Área Nvos Matl-Med</t>
  </si>
  <si>
    <t>TEDT</t>
  </si>
  <si>
    <t>MMIT - Mtria Ing Área Telecomunic-Med</t>
  </si>
  <si>
    <t>TEEM</t>
  </si>
  <si>
    <t>MMIS - Mtria Ing Stmas Energético-Med</t>
  </si>
  <si>
    <t>TEEN</t>
  </si>
  <si>
    <t>MMEA - Mtría Innov en Agronegocio-Med</t>
  </si>
  <si>
    <t>TEET</t>
  </si>
  <si>
    <t>MMPD - Mtria Ppación y Dllo Comu-Med</t>
  </si>
  <si>
    <t>TEGB</t>
  </si>
  <si>
    <t>DMIC - Mtría Tecn de Inf y Cción-Btá</t>
  </si>
  <si>
    <t>TEGD</t>
  </si>
  <si>
    <t>MMIC - Mtría Tecn de Inf y Cción-Med</t>
  </si>
  <si>
    <t>TEGE</t>
  </si>
  <si>
    <t>MMTS - Mtria Teol-Form Sacerdotal-Med</t>
  </si>
  <si>
    <t>TEGF</t>
  </si>
  <si>
    <t>MMTA - Mtria Teolo Área Bioetica-Med</t>
  </si>
  <si>
    <t>TEGK</t>
  </si>
  <si>
    <t>MMTE - Mtria Teol-Sagrada Escritu-Med</t>
  </si>
  <si>
    <t>TEGM</t>
  </si>
  <si>
    <t>MMTD - Mtria TyD Energía Electr-Med</t>
  </si>
  <si>
    <t>TEGN</t>
  </si>
  <si>
    <t>MCNE - Negocios Internales-Med</t>
  </si>
  <si>
    <t>TEGP</t>
  </si>
  <si>
    <t>MCPL - Profes. Filosofía y Letras-Med</t>
  </si>
  <si>
    <t>TEGR</t>
  </si>
  <si>
    <t>MECO - Prog de Educación Continua-Med</t>
  </si>
  <si>
    <t>TEGS</t>
  </si>
  <si>
    <t>MENF - Prog Educación No Formal-Med</t>
  </si>
  <si>
    <t>TEGU</t>
  </si>
  <si>
    <t>MPPR - Prog.Inducción Educación Super</t>
  </si>
  <si>
    <t>TEIM</t>
  </si>
  <si>
    <t>MCPC - Psicología Catolica Orien-Med</t>
  </si>
  <si>
    <t>TELT</t>
  </si>
  <si>
    <t>PCPS - Psicología Diurna-Pal</t>
  </si>
  <si>
    <t>TEPP</t>
  </si>
  <si>
    <t>PCPN - Psicología Nocturna-Pal</t>
  </si>
  <si>
    <t>TETH</t>
  </si>
  <si>
    <t>TCPS - Psicología-Mon</t>
  </si>
  <si>
    <t>TMAD</t>
  </si>
  <si>
    <t>MCPU - Publicidad-Med</t>
  </si>
  <si>
    <t>TMED</t>
  </si>
  <si>
    <t>PCPU - Publicidad-Pal</t>
  </si>
  <si>
    <t>DCTE</t>
  </si>
  <si>
    <t>MCAT - Tecnol en Admon empresas-Med</t>
  </si>
  <si>
    <t>DEIN</t>
  </si>
  <si>
    <t>DCTE - Teología- Bogotá</t>
  </si>
  <si>
    <t>DESI</t>
  </si>
  <si>
    <t>MCTE - Teología-Med</t>
  </si>
  <si>
    <t>DMIC</t>
  </si>
  <si>
    <t>MCTS - Trabajo Social-Med</t>
  </si>
  <si>
    <t>DMMR</t>
  </si>
  <si>
    <t>Información básica del curso</t>
  </si>
  <si>
    <t>Descripción del curso:</t>
  </si>
  <si>
    <t>Número de créditos:</t>
  </si>
  <si>
    <t>Número de horas presenciales:</t>
  </si>
  <si>
    <t>Número de horas de trabajo independiente:</t>
  </si>
  <si>
    <t>Propósito (s) de formación del curso:</t>
  </si>
  <si>
    <t>Capacidad (es) humana (s)  del ciclo que desarrolla el curso:</t>
  </si>
  <si>
    <t>Determinación de las modalidades y métodos de enseñanza y aprendizaje</t>
  </si>
  <si>
    <t>Contenidos y experiencias de aprendizaje: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</si>
</sst>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0"/>
      <name val="Arial"/>
    </font>
    <font>
      <b/>
      <sz val="12"/>
      <name val="Arial"/>
      <family val="2"/>
    </font>
    <font>
      <b/>
      <sz val="10"/>
      <name val="Arial"/>
      <family val="2"/>
    </font>
    <font>
      <sz val="8"/>
      <name val="Arial"/>
      <family val="2"/>
    </font>
    <font>
      <sz val="10"/>
      <name val="Arial"/>
      <family val="2"/>
    </font>
    <font>
      <sz val="9"/>
      <name val="Arial"/>
      <family val="2"/>
    </font>
    <font>
      <b/>
      <sz val="8"/>
      <color indexed="12"/>
      <name val="Arial"/>
      <family val="2"/>
    </font>
    <font>
      <sz val="9"/>
      <color indexed="81"/>
      <name val="Tahoma"/>
      <family val="2"/>
    </font>
    <font>
      <b/>
      <sz val="9"/>
      <color indexed="81"/>
      <name val="Tahoma"/>
      <family val="2"/>
    </font>
    <font>
      <sz val="12"/>
      <name val="Arial"/>
      <family val="2"/>
    </font>
    <font>
      <sz val="12"/>
      <color indexed="8"/>
      <name val="Arial"/>
      <family val="2"/>
    </font>
    <font>
      <sz val="12"/>
      <color indexed="60"/>
      <name val="Arial"/>
      <family val="2"/>
    </font>
    <font>
      <sz val="11"/>
      <name val="Arial"/>
      <family val="2"/>
    </font>
    <font>
      <i/>
      <sz val="10"/>
      <name val="Arial"/>
      <family val="2"/>
    </font>
    <font>
      <i/>
      <sz val="10"/>
      <color theme="1"/>
      <name val="Arial"/>
      <family val="2"/>
    </font>
    <font>
      <b/>
      <sz val="11"/>
      <name val="Arial"/>
      <family val="2"/>
    </font>
    <font>
      <b/>
      <vertAlign val="superscript"/>
      <sz val="10"/>
      <name val="Arial"/>
      <family val="2"/>
    </font>
    <font>
      <i/>
      <sz val="9"/>
      <name val="Arial"/>
      <family val="2"/>
    </font>
    <font>
      <b/>
      <sz val="10"/>
      <color theme="1"/>
      <name val="Arial"/>
      <family val="2"/>
    </font>
    <font>
      <b/>
      <vertAlign val="superscript"/>
      <sz val="10"/>
      <color theme="1"/>
      <name val="Arial"/>
      <family val="2"/>
    </font>
    <font>
      <sz val="12"/>
      <color indexed="8"/>
      <name val="Calibri"/>
      <family val="2"/>
    </font>
  </fonts>
  <fills count="7">
    <fill>
      <patternFill patternType="none"/>
    </fill>
    <fill>
      <patternFill patternType="gray125"/>
    </fill>
    <fill>
      <patternFill patternType="solid">
        <fgColor theme="0" tint="-0.249977111117893"/>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249977111117893"/>
        <bgColor indexed="9"/>
      </patternFill>
    </fill>
    <fill>
      <patternFill patternType="solid">
        <fgColor theme="0" tint="-0.1499984740745262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4" fillId="0" borderId="0"/>
  </cellStyleXfs>
  <cellXfs count="242">
    <xf numFmtId="0" fontId="0" fillId="0" borderId="0" xfId="0"/>
    <xf numFmtId="0" fontId="9" fillId="0" borderId="0" xfId="0" applyFont="1"/>
    <xf numFmtId="0" fontId="9" fillId="0" borderId="1" xfId="0" applyFont="1" applyBorder="1" applyAlignment="1">
      <alignment horizontal="justify" vertical="center"/>
    </xf>
    <xf numFmtId="0" fontId="9" fillId="0" borderId="1" xfId="0" applyFont="1" applyBorder="1" applyAlignment="1">
      <alignment vertical="center"/>
    </xf>
    <xf numFmtId="0" fontId="1" fillId="0" borderId="1" xfId="0" applyFont="1" applyBorder="1" applyAlignment="1">
      <alignment vertical="top" wrapText="1"/>
    </xf>
    <xf numFmtId="0" fontId="9" fillId="0" borderId="15" xfId="0" applyFont="1" applyBorder="1" applyAlignment="1">
      <alignment horizontal="justify" vertical="center" wrapText="1"/>
    </xf>
    <xf numFmtId="0" fontId="1" fillId="0" borderId="5" xfId="0" applyFont="1" applyBorder="1" applyAlignment="1">
      <alignment horizontal="justify" vertical="center"/>
    </xf>
    <xf numFmtId="0" fontId="2" fillId="0" borderId="1" xfId="0" applyFont="1" applyBorder="1" applyAlignment="1" applyProtection="1">
      <alignment horizontal="left" vertical="center" wrapText="1"/>
    </xf>
    <xf numFmtId="49" fontId="2" fillId="0" borderId="1" xfId="0" applyNumberFormat="1" applyFont="1" applyFill="1" applyBorder="1" applyAlignment="1" applyProtection="1">
      <alignment horizontal="left" vertical="center"/>
    </xf>
    <xf numFmtId="0" fontId="2" fillId="0" borderId="1" xfId="0" applyFont="1" applyFill="1" applyBorder="1" applyAlignment="1" applyProtection="1">
      <alignment horizontal="left" vertical="center" wrapText="1"/>
    </xf>
    <xf numFmtId="0" fontId="2" fillId="0" borderId="1" xfId="0" applyFont="1" applyFill="1" applyBorder="1" applyAlignment="1" applyProtection="1">
      <alignment horizontal="left" vertical="center"/>
    </xf>
    <xf numFmtId="0" fontId="2" fillId="0" borderId="15" xfId="0" applyFont="1" applyBorder="1" applyAlignment="1" applyProtection="1">
      <alignment vertical="center"/>
    </xf>
    <xf numFmtId="0" fontId="1" fillId="6" borderId="1" xfId="0" applyFont="1" applyFill="1" applyBorder="1" applyAlignment="1">
      <alignment horizontal="center"/>
    </xf>
    <xf numFmtId="0" fontId="4" fillId="0" borderId="0" xfId="0" applyFont="1" applyProtection="1"/>
    <xf numFmtId="0" fontId="0" fillId="0" borderId="0" xfId="0" applyProtection="1"/>
    <xf numFmtId="0" fontId="2" fillId="0" borderId="0" xfId="0" applyFont="1" applyFill="1" applyBorder="1" applyAlignment="1" applyProtection="1"/>
    <xf numFmtId="0" fontId="4" fillId="0" borderId="0" xfId="0" applyFont="1" applyFill="1" applyProtection="1"/>
    <xf numFmtId="0" fontId="4" fillId="0" borderId="0" xfId="0" applyFont="1" applyBorder="1" applyAlignment="1" applyProtection="1">
      <alignment horizontal="left"/>
    </xf>
    <xf numFmtId="0" fontId="0" fillId="0" borderId="0" xfId="0" applyAlignment="1" applyProtection="1">
      <alignment horizontal="left"/>
    </xf>
    <xf numFmtId="0" fontId="0" fillId="0" borderId="0" xfId="0" applyBorder="1" applyProtection="1"/>
    <xf numFmtId="0" fontId="0" fillId="0" borderId="11" xfId="0" applyBorder="1" applyProtection="1"/>
    <xf numFmtId="0" fontId="2" fillId="3" borderId="1" xfId="0" applyFont="1" applyFill="1" applyBorder="1" applyAlignment="1" applyProtection="1">
      <alignment horizontal="left" vertical="center"/>
    </xf>
    <xf numFmtId="0" fontId="2" fillId="0" borderId="3" xfId="0" applyFont="1" applyBorder="1" applyAlignment="1" applyProtection="1">
      <alignment horizontal="left" vertical="center"/>
    </xf>
    <xf numFmtId="0" fontId="2" fillId="0" borderId="4" xfId="0" applyFont="1" applyBorder="1" applyAlignment="1" applyProtection="1">
      <alignment horizontal="left" vertical="center"/>
    </xf>
    <xf numFmtId="0" fontId="4" fillId="0" borderId="0" xfId="0" applyFont="1" applyProtection="1">
      <protection locked="0"/>
    </xf>
    <xf numFmtId="0" fontId="1" fillId="0" borderId="1" xfId="0" applyFont="1" applyBorder="1" applyAlignment="1" applyProtection="1">
      <alignment vertical="center" wrapText="1"/>
      <protection locked="0"/>
    </xf>
    <xf numFmtId="0" fontId="0" fillId="0" borderId="0" xfId="0" applyProtection="1">
      <protection locked="0"/>
    </xf>
    <xf numFmtId="0" fontId="2" fillId="0" borderId="0" xfId="0" applyFont="1" applyFill="1" applyBorder="1" applyAlignment="1" applyProtection="1">
      <protection locked="0"/>
    </xf>
    <xf numFmtId="0" fontId="4" fillId="0" borderId="0" xfId="0" applyFont="1" applyFill="1" applyBorder="1" applyProtection="1">
      <protection locked="0"/>
    </xf>
    <xf numFmtId="0" fontId="4" fillId="0" borderId="0" xfId="0" applyFont="1" applyFill="1" applyProtection="1">
      <protection locked="0"/>
    </xf>
    <xf numFmtId="0" fontId="4" fillId="0" borderId="0" xfId="0" applyFont="1" applyBorder="1" applyProtection="1">
      <protection locked="0"/>
    </xf>
    <xf numFmtId="0" fontId="2" fillId="0" borderId="0" xfId="0" applyFont="1" applyFill="1" applyBorder="1" applyAlignment="1" applyProtection="1">
      <alignment wrapText="1"/>
      <protection locked="0"/>
    </xf>
    <xf numFmtId="0" fontId="4" fillId="0" borderId="0" xfId="0" applyFont="1" applyBorder="1" applyAlignment="1" applyProtection="1">
      <alignment wrapText="1"/>
      <protection locked="0"/>
    </xf>
    <xf numFmtId="0" fontId="4" fillId="0" borderId="0" xfId="0" applyFont="1" applyAlignment="1" applyProtection="1">
      <alignment wrapText="1"/>
      <protection locked="0"/>
    </xf>
    <xf numFmtId="0" fontId="4" fillId="0" borderId="0" xfId="0" applyFont="1" applyBorder="1" applyAlignment="1" applyProtection="1">
      <alignment horizontal="left"/>
      <protection locked="0"/>
    </xf>
    <xf numFmtId="0" fontId="0" fillId="0" borderId="0" xfId="0" applyAlignment="1" applyProtection="1">
      <alignment horizontal="left"/>
      <protection locked="0"/>
    </xf>
    <xf numFmtId="0" fontId="15" fillId="2" borderId="15" xfId="0" applyFont="1" applyFill="1" applyBorder="1" applyAlignment="1" applyProtection="1">
      <alignment horizontal="center" vertical="center"/>
    </xf>
    <xf numFmtId="0" fontId="15" fillId="2" borderId="13" xfId="0" applyFont="1" applyFill="1" applyBorder="1" applyAlignment="1" applyProtection="1">
      <alignment horizontal="center" vertical="center"/>
    </xf>
    <xf numFmtId="0" fontId="15" fillId="5" borderId="0" xfId="0" applyFont="1" applyFill="1" applyAlignment="1" applyProtection="1">
      <alignment horizontal="center" vertical="center"/>
    </xf>
    <xf numFmtId="0" fontId="12" fillId="2" borderId="1" xfId="0" applyFont="1" applyFill="1" applyBorder="1" applyAlignment="1" applyProtection="1">
      <alignment horizontal="center" vertical="center"/>
    </xf>
    <xf numFmtId="0" fontId="4" fillId="0" borderId="4" xfId="0" applyFont="1" applyBorder="1" applyProtection="1"/>
    <xf numFmtId="0" fontId="4" fillId="0" borderId="15" xfId="0" applyFont="1" applyBorder="1" applyProtection="1"/>
    <xf numFmtId="0" fontId="0" fillId="0" borderId="10" xfId="0" applyBorder="1" applyProtection="1"/>
    <xf numFmtId="0" fontId="0" fillId="0" borderId="12" xfId="0" applyBorder="1" applyProtection="1"/>
    <xf numFmtId="49" fontId="18" fillId="0" borderId="1" xfId="0" applyNumberFormat="1" applyFont="1" applyFill="1" applyBorder="1" applyAlignment="1" applyProtection="1">
      <alignment horizontal="left" vertical="center"/>
    </xf>
    <xf numFmtId="0" fontId="18" fillId="0" borderId="1" xfId="0" applyFont="1" applyFill="1" applyBorder="1" applyAlignment="1" applyProtection="1">
      <alignment horizontal="left" vertical="center" wrapText="1"/>
    </xf>
    <xf numFmtId="0" fontId="18" fillId="0" borderId="8" xfId="0" applyFont="1" applyBorder="1" applyAlignment="1" applyProtection="1">
      <alignment horizontal="left" vertical="center" wrapText="1"/>
    </xf>
    <xf numFmtId="0" fontId="18" fillId="0" borderId="1" xfId="0" applyFont="1" applyBorder="1" applyAlignment="1" applyProtection="1">
      <alignment horizontal="left" vertical="center"/>
    </xf>
    <xf numFmtId="0" fontId="18" fillId="0" borderId="15" xfId="0" applyFont="1" applyBorder="1" applyAlignment="1" applyProtection="1">
      <alignment horizontal="left" vertical="center"/>
    </xf>
    <xf numFmtId="0" fontId="0" fillId="0" borderId="13" xfId="0" applyBorder="1" applyAlignment="1"/>
    <xf numFmtId="0" fontId="0" fillId="3" borderId="10" xfId="0" applyFill="1" applyBorder="1" applyProtection="1"/>
    <xf numFmtId="0" fontId="4" fillId="3" borderId="9" xfId="0" applyFont="1" applyFill="1" applyBorder="1" applyProtection="1"/>
    <xf numFmtId="0" fontId="4" fillId="3" borderId="10" xfId="0" applyFont="1" applyFill="1" applyBorder="1" applyProtection="1"/>
    <xf numFmtId="0" fontId="0" fillId="3" borderId="0" xfId="0" applyFill="1" applyBorder="1" applyProtection="1"/>
    <xf numFmtId="0" fontId="5" fillId="3" borderId="0" xfId="0" applyFont="1" applyFill="1" applyBorder="1" applyAlignment="1" applyProtection="1">
      <alignment horizontal="center" vertical="center" wrapText="1"/>
    </xf>
    <xf numFmtId="0" fontId="4" fillId="0" borderId="0" xfId="0" applyFont="1" applyBorder="1" applyProtection="1"/>
    <xf numFmtId="0" fontId="0" fillId="0" borderId="7" xfId="0" applyBorder="1" applyAlignment="1"/>
    <xf numFmtId="0" fontId="0" fillId="0" borderId="0" xfId="0" applyFill="1" applyBorder="1" applyProtection="1"/>
    <xf numFmtId="0" fontId="13" fillId="0" borderId="0" xfId="0" applyFont="1" applyFill="1" applyBorder="1" applyAlignment="1" applyProtection="1">
      <alignment vertical="center"/>
      <protection locked="0"/>
    </xf>
    <xf numFmtId="0" fontId="0" fillId="0" borderId="6" xfId="0" applyBorder="1" applyProtection="1"/>
    <xf numFmtId="0" fontId="4" fillId="0" borderId="9" xfId="0" applyFont="1" applyFill="1" applyBorder="1" applyProtection="1"/>
    <xf numFmtId="0" fontId="20" fillId="0" borderId="13" xfId="0" applyFont="1" applyFill="1" applyBorder="1" applyAlignment="1"/>
    <xf numFmtId="0" fontId="20" fillId="0" borderId="7" xfId="0" applyFont="1" applyFill="1" applyBorder="1" applyAlignment="1"/>
    <xf numFmtId="0" fontId="15" fillId="2" borderId="15" xfId="0" applyFont="1" applyFill="1" applyBorder="1" applyAlignment="1" applyProtection="1">
      <alignment horizontal="center" vertical="center" wrapText="1"/>
    </xf>
    <xf numFmtId="0" fontId="4" fillId="0" borderId="13" xfId="0" applyFont="1" applyBorder="1" applyProtection="1"/>
    <xf numFmtId="0" fontId="4" fillId="0" borderId="7" xfId="0" applyFont="1" applyBorder="1" applyProtection="1"/>
    <xf numFmtId="0" fontId="4" fillId="0" borderId="10" xfId="0" applyFont="1" applyFill="1" applyBorder="1" applyProtection="1"/>
    <xf numFmtId="0" fontId="0" fillId="0" borderId="10" xfId="0" applyFont="1" applyFill="1" applyBorder="1" applyProtection="1"/>
    <xf numFmtId="0" fontId="20" fillId="0" borderId="9" xfId="0" applyFont="1" applyFill="1" applyBorder="1" applyAlignment="1"/>
    <xf numFmtId="0" fontId="20" fillId="0" borderId="10" xfId="0" applyFont="1" applyFill="1" applyBorder="1" applyAlignment="1"/>
    <xf numFmtId="0" fontId="4" fillId="0" borderId="15" xfId="0" applyFont="1" applyFill="1" applyBorder="1" applyProtection="1"/>
    <xf numFmtId="0" fontId="0" fillId="0" borderId="13" xfId="0" applyFont="1" applyFill="1" applyBorder="1" applyProtection="1"/>
    <xf numFmtId="0" fontId="4" fillId="2" borderId="15" xfId="0" applyFont="1" applyFill="1" applyBorder="1" applyProtection="1"/>
    <xf numFmtId="0" fontId="4" fillId="2" borderId="15" xfId="0" applyFont="1" applyFill="1" applyBorder="1" applyAlignment="1" applyProtection="1">
      <alignment horizontal="center" vertical="center"/>
    </xf>
    <xf numFmtId="0" fontId="4" fillId="0" borderId="13" xfId="0" applyFont="1" applyFill="1" applyBorder="1" applyProtection="1"/>
    <xf numFmtId="0" fontId="2" fillId="0" borderId="12" xfId="0" applyFont="1" applyBorder="1" applyAlignment="1" applyProtection="1">
      <alignment horizontal="center" vertical="center" wrapText="1"/>
    </xf>
    <xf numFmtId="0" fontId="4" fillId="0" borderId="11" xfId="0" applyFont="1" applyBorder="1" applyProtection="1"/>
    <xf numFmtId="0" fontId="4" fillId="0" borderId="14" xfId="0" applyFont="1" applyBorder="1" applyProtection="1"/>
    <xf numFmtId="0" fontId="0" fillId="0" borderId="7" xfId="0" applyFont="1" applyFill="1" applyBorder="1" applyProtection="1"/>
    <xf numFmtId="0" fontId="2" fillId="0" borderId="4" xfId="0" applyFont="1" applyBorder="1" applyAlignment="1" applyProtection="1">
      <alignment vertical="center" wrapText="1"/>
    </xf>
    <xf numFmtId="0" fontId="2" fillId="0" borderId="8" xfId="0" applyFont="1" applyBorder="1" applyAlignment="1" applyProtection="1">
      <alignment horizontal="center" vertical="center" wrapText="1"/>
    </xf>
    <xf numFmtId="0" fontId="2" fillId="0" borderId="1" xfId="0" applyFont="1" applyBorder="1" applyAlignment="1" applyProtection="1">
      <alignment horizontal="left" vertical="center"/>
    </xf>
    <xf numFmtId="0" fontId="2" fillId="0" borderId="1" xfId="0" applyFont="1" applyBorder="1" applyAlignment="1" applyProtection="1">
      <alignment horizontal="center" vertical="center" wrapText="1"/>
    </xf>
    <xf numFmtId="0" fontId="17" fillId="4" borderId="8" xfId="0" applyFont="1" applyFill="1" applyBorder="1" applyAlignment="1" applyProtection="1">
      <alignment horizontal="left" vertical="center" wrapText="1"/>
      <protection locked="0"/>
    </xf>
    <xf numFmtId="0" fontId="17" fillId="4" borderId="2" xfId="0" applyFont="1" applyFill="1" applyBorder="1" applyAlignment="1" applyProtection="1">
      <alignment horizontal="left" vertical="center" wrapText="1"/>
      <protection locked="0"/>
    </xf>
    <xf numFmtId="0" fontId="17" fillId="4" borderId="3" xfId="0" applyFont="1" applyFill="1" applyBorder="1" applyAlignment="1" applyProtection="1">
      <alignment horizontal="left" vertical="center" wrapText="1"/>
      <protection locked="0"/>
    </xf>
    <xf numFmtId="0" fontId="4" fillId="0" borderId="9" xfId="0" applyFont="1" applyBorder="1" applyAlignment="1" applyProtection="1">
      <alignment horizontal="left" vertical="center" wrapText="1"/>
      <protection locked="0"/>
    </xf>
    <xf numFmtId="0" fontId="4" fillId="0" borderId="5"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10" xfId="0" applyFont="1" applyBorder="1" applyAlignment="1" applyProtection="1">
      <alignment horizontal="left" vertical="center" wrapText="1"/>
      <protection locked="0"/>
    </xf>
    <xf numFmtId="0" fontId="4" fillId="0" borderId="0" xfId="0" applyFont="1" applyBorder="1" applyAlignment="1" applyProtection="1">
      <alignment horizontal="left" vertical="center" wrapText="1"/>
      <protection locked="0"/>
    </xf>
    <xf numFmtId="0" fontId="4" fillId="0" borderId="11" xfId="0" applyFont="1" applyBorder="1" applyAlignment="1" applyProtection="1">
      <alignment horizontal="left" vertical="center" wrapText="1"/>
      <protection locked="0"/>
    </xf>
    <xf numFmtId="0" fontId="4" fillId="0" borderId="12" xfId="0" applyFont="1" applyBorder="1" applyAlignment="1" applyProtection="1">
      <alignment horizontal="left" vertical="center" wrapText="1"/>
      <protection locked="0"/>
    </xf>
    <xf numFmtId="0" fontId="4" fillId="0" borderId="6" xfId="0" applyFont="1" applyBorder="1" applyAlignment="1" applyProtection="1">
      <alignment horizontal="left" vertical="center" wrapText="1"/>
      <protection locked="0"/>
    </xf>
    <xf numFmtId="0" fontId="4" fillId="0" borderId="14" xfId="0" applyFont="1" applyBorder="1" applyAlignment="1" applyProtection="1">
      <alignment horizontal="left" vertical="center" wrapText="1"/>
      <protection locked="0"/>
    </xf>
    <xf numFmtId="0" fontId="2" fillId="2" borderId="15"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2" fillId="2" borderId="9" xfId="0" applyFont="1" applyFill="1" applyBorder="1" applyAlignment="1" applyProtection="1">
      <alignment horizontal="center" vertical="center" wrapText="1"/>
    </xf>
    <xf numFmtId="0" fontId="2" fillId="2" borderId="5" xfId="0" applyFont="1" applyFill="1" applyBorder="1" applyAlignment="1" applyProtection="1">
      <alignment horizontal="center" vertical="center" wrapText="1"/>
    </xf>
    <xf numFmtId="0" fontId="2" fillId="2" borderId="4" xfId="0" applyFont="1" applyFill="1" applyBorder="1" applyAlignment="1" applyProtection="1">
      <alignment horizontal="center" vertical="center" wrapText="1"/>
    </xf>
    <xf numFmtId="0" fontId="2" fillId="2" borderId="12" xfId="0" applyFont="1" applyFill="1" applyBorder="1" applyAlignment="1" applyProtection="1">
      <alignment horizontal="center" vertical="center" wrapText="1"/>
    </xf>
    <xf numFmtId="0" fontId="2" fillId="2" borderId="6"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5" fillId="3" borderId="9" xfId="0" applyFont="1" applyFill="1" applyBorder="1" applyAlignment="1" applyProtection="1">
      <alignment horizontal="left" vertical="center" wrapText="1"/>
      <protection locked="0"/>
    </xf>
    <xf numFmtId="0" fontId="5" fillId="3" borderId="5" xfId="0" applyFont="1" applyFill="1" applyBorder="1" applyAlignment="1" applyProtection="1">
      <alignment horizontal="left" vertical="center" wrapText="1"/>
      <protection locked="0"/>
    </xf>
    <xf numFmtId="0" fontId="5" fillId="3" borderId="4" xfId="0" applyFont="1" applyFill="1" applyBorder="1" applyAlignment="1" applyProtection="1">
      <alignment horizontal="left" vertical="center" wrapText="1"/>
      <protection locked="0"/>
    </xf>
    <xf numFmtId="0" fontId="5" fillId="3" borderId="10" xfId="0" applyFont="1" applyFill="1" applyBorder="1" applyAlignment="1" applyProtection="1">
      <alignment horizontal="left" vertical="center" wrapText="1"/>
      <protection locked="0"/>
    </xf>
    <xf numFmtId="0" fontId="5" fillId="3" borderId="0" xfId="0" applyFont="1" applyFill="1" applyBorder="1" applyAlignment="1" applyProtection="1">
      <alignment horizontal="left" vertical="center" wrapText="1"/>
      <protection locked="0"/>
    </xf>
    <xf numFmtId="0" fontId="5" fillId="3" borderId="11" xfId="0" applyFont="1" applyFill="1" applyBorder="1" applyAlignment="1" applyProtection="1">
      <alignment horizontal="left" vertical="center" wrapText="1"/>
      <protection locked="0"/>
    </xf>
    <xf numFmtId="0" fontId="5" fillId="3" borderId="12" xfId="0" applyFont="1" applyFill="1" applyBorder="1" applyAlignment="1" applyProtection="1">
      <alignment horizontal="left" vertical="center" wrapText="1"/>
      <protection locked="0"/>
    </xf>
    <xf numFmtId="0" fontId="5" fillId="3" borderId="6" xfId="0" applyFont="1" applyFill="1" applyBorder="1" applyAlignment="1" applyProtection="1">
      <alignment horizontal="left" vertical="center" wrapText="1"/>
      <protection locked="0"/>
    </xf>
    <xf numFmtId="0" fontId="5" fillId="3" borderId="14" xfId="0" applyFont="1" applyFill="1" applyBorder="1" applyAlignment="1" applyProtection="1">
      <alignment horizontal="left" vertical="center" wrapText="1"/>
      <protection locked="0"/>
    </xf>
    <xf numFmtId="0" fontId="4" fillId="3" borderId="9" xfId="0" applyFont="1" applyFill="1" applyBorder="1" applyAlignment="1" applyProtection="1">
      <alignment horizontal="left" vertical="center" wrapText="1"/>
      <protection locked="0"/>
    </xf>
    <xf numFmtId="0" fontId="4" fillId="3" borderId="5" xfId="0" applyFont="1" applyFill="1" applyBorder="1" applyAlignment="1" applyProtection="1">
      <alignment horizontal="left" vertical="center" wrapText="1"/>
      <protection locked="0"/>
    </xf>
    <xf numFmtId="0" fontId="4" fillId="3" borderId="4" xfId="0" applyFont="1" applyFill="1" applyBorder="1" applyAlignment="1" applyProtection="1">
      <alignment horizontal="left" vertical="center" wrapText="1"/>
      <protection locked="0"/>
    </xf>
    <xf numFmtId="0" fontId="4" fillId="3" borderId="10" xfId="0" applyFont="1" applyFill="1" applyBorder="1" applyAlignment="1" applyProtection="1">
      <alignment horizontal="left" vertical="center" wrapText="1"/>
      <protection locked="0"/>
    </xf>
    <xf numFmtId="0" fontId="4" fillId="3" borderId="0" xfId="0" applyFont="1" applyFill="1" applyBorder="1" applyAlignment="1" applyProtection="1">
      <alignment horizontal="left" vertical="center" wrapText="1"/>
      <protection locked="0"/>
    </xf>
    <xf numFmtId="0" fontId="4" fillId="3" borderId="11" xfId="0" applyFont="1" applyFill="1" applyBorder="1" applyAlignment="1" applyProtection="1">
      <alignment horizontal="left" vertical="center" wrapText="1"/>
      <protection locked="0"/>
    </xf>
    <xf numFmtId="0" fontId="4" fillId="3" borderId="12" xfId="0" applyFont="1" applyFill="1" applyBorder="1" applyAlignment="1" applyProtection="1">
      <alignment horizontal="left" vertical="center" wrapText="1"/>
      <protection locked="0"/>
    </xf>
    <xf numFmtId="0" fontId="4" fillId="3" borderId="6" xfId="0" applyFont="1" applyFill="1" applyBorder="1" applyAlignment="1" applyProtection="1">
      <alignment horizontal="left" vertical="center" wrapText="1"/>
      <protection locked="0"/>
    </xf>
    <xf numFmtId="0" fontId="4" fillId="3" borderId="14" xfId="0" applyFont="1" applyFill="1" applyBorder="1" applyAlignment="1" applyProtection="1">
      <alignment horizontal="left" vertical="center" wrapText="1"/>
      <protection locked="0"/>
    </xf>
    <xf numFmtId="0" fontId="4" fillId="4" borderId="15" xfId="0" applyFont="1" applyFill="1" applyBorder="1" applyAlignment="1" applyProtection="1">
      <alignment horizontal="left" vertical="center" wrapText="1"/>
      <protection locked="0"/>
    </xf>
    <xf numFmtId="0" fontId="4" fillId="4" borderId="13" xfId="0" applyFont="1" applyFill="1" applyBorder="1" applyAlignment="1" applyProtection="1">
      <alignment horizontal="left" vertical="center" wrapText="1"/>
      <protection locked="0"/>
    </xf>
    <xf numFmtId="0" fontId="4" fillId="4" borderId="7" xfId="0" applyFont="1" applyFill="1" applyBorder="1" applyAlignment="1" applyProtection="1">
      <alignment horizontal="left" vertical="center" wrapText="1"/>
      <protection locked="0"/>
    </xf>
    <xf numFmtId="1" fontId="4" fillId="0" borderId="8" xfId="0" applyNumberFormat="1" applyFont="1" applyBorder="1" applyAlignment="1" applyProtection="1">
      <alignment horizontal="center" vertical="center" wrapText="1"/>
      <protection locked="0"/>
    </xf>
    <xf numFmtId="1" fontId="4" fillId="0" borderId="3" xfId="0" applyNumberFormat="1" applyFont="1" applyBorder="1" applyAlignment="1" applyProtection="1">
      <alignment horizontal="center" vertical="center" wrapText="1"/>
      <protection locked="0"/>
    </xf>
    <xf numFmtId="1" fontId="4" fillId="0" borderId="2" xfId="0" applyNumberFormat="1" applyFont="1" applyBorder="1" applyAlignment="1" applyProtection="1">
      <alignment horizontal="center" vertical="center" wrapText="1"/>
      <protection locked="0"/>
    </xf>
    <xf numFmtId="2" fontId="4" fillId="3" borderId="12" xfId="0" applyNumberFormat="1" applyFont="1" applyFill="1" applyBorder="1" applyAlignment="1" applyProtection="1">
      <alignment horizontal="center" vertical="center"/>
      <protection locked="0"/>
    </xf>
    <xf numFmtId="2" fontId="4" fillId="3" borderId="14" xfId="0" applyNumberFormat="1" applyFont="1" applyFill="1" applyBorder="1" applyAlignment="1" applyProtection="1">
      <alignment horizontal="center" vertical="center"/>
      <protection locked="0"/>
    </xf>
    <xf numFmtId="9" fontId="4" fillId="3" borderId="15" xfId="0" applyNumberFormat="1" applyFont="1" applyFill="1" applyBorder="1" applyAlignment="1" applyProtection="1">
      <alignment horizontal="center" vertical="center"/>
      <protection locked="0"/>
    </xf>
    <xf numFmtId="9" fontId="4" fillId="3" borderId="7" xfId="0" applyNumberFormat="1" applyFont="1" applyFill="1" applyBorder="1" applyAlignment="1" applyProtection="1">
      <alignment horizontal="center" vertical="center"/>
      <protection locked="0"/>
    </xf>
    <xf numFmtId="0" fontId="4" fillId="3" borderId="15" xfId="0" applyFont="1" applyFill="1" applyBorder="1" applyAlignment="1" applyProtection="1">
      <alignment horizontal="center" vertical="center" wrapText="1"/>
      <protection locked="0"/>
    </xf>
    <xf numFmtId="0" fontId="4" fillId="3" borderId="13" xfId="0" applyFont="1" applyFill="1" applyBorder="1" applyAlignment="1" applyProtection="1">
      <alignment horizontal="center" vertical="center" wrapText="1"/>
      <protection locked="0"/>
    </xf>
    <xf numFmtId="0" fontId="4" fillId="3" borderId="7" xfId="0" applyFont="1" applyFill="1" applyBorder="1" applyAlignment="1" applyProtection="1">
      <alignment horizontal="center" vertical="center" wrapText="1"/>
      <protection locked="0"/>
    </xf>
    <xf numFmtId="0" fontId="2" fillId="2" borderId="15" xfId="0" applyFont="1" applyFill="1" applyBorder="1" applyAlignment="1" applyProtection="1">
      <alignment horizontal="center" vertical="center" wrapText="1"/>
    </xf>
    <xf numFmtId="0" fontId="2" fillId="2" borderId="7" xfId="0" applyFont="1" applyFill="1" applyBorder="1" applyAlignment="1" applyProtection="1">
      <alignment horizontal="center" vertical="center" wrapText="1"/>
    </xf>
    <xf numFmtId="0" fontId="4" fillId="0" borderId="9" xfId="0" applyFont="1" applyBorder="1" applyAlignment="1" applyProtection="1">
      <alignment horizontal="center" vertical="center" wrapText="1"/>
    </xf>
    <xf numFmtId="0" fontId="4" fillId="0" borderId="5" xfId="0" applyFont="1" applyBorder="1" applyAlignment="1" applyProtection="1">
      <alignment horizontal="center" vertical="center" wrapText="1"/>
    </xf>
    <xf numFmtId="0" fontId="4" fillId="0" borderId="4" xfId="0" applyFont="1" applyBorder="1" applyAlignment="1" applyProtection="1">
      <alignment horizontal="center" vertical="center" wrapText="1"/>
    </xf>
    <xf numFmtId="0" fontId="4" fillId="0" borderId="10" xfId="0" applyFont="1" applyBorder="1" applyAlignment="1" applyProtection="1">
      <alignment horizontal="center" vertical="center" wrapText="1"/>
    </xf>
    <xf numFmtId="0" fontId="4" fillId="0" borderId="0" xfId="0" applyFont="1" applyBorder="1" applyAlignment="1" applyProtection="1">
      <alignment horizontal="center" vertical="center" wrapText="1"/>
    </xf>
    <xf numFmtId="0" fontId="4" fillId="0" borderId="11" xfId="0" applyFont="1" applyBorder="1" applyAlignment="1" applyProtection="1">
      <alignment horizontal="center" vertical="center" wrapText="1"/>
    </xf>
    <xf numFmtId="0" fontId="4" fillId="0" borderId="12" xfId="0" applyFont="1" applyBorder="1" applyAlignment="1" applyProtection="1">
      <alignment horizontal="center" vertical="center" wrapText="1"/>
    </xf>
    <xf numFmtId="0" fontId="4" fillId="0" borderId="6" xfId="0" applyFont="1" applyBorder="1" applyAlignment="1" applyProtection="1">
      <alignment horizontal="center" vertical="center" wrapText="1"/>
    </xf>
    <xf numFmtId="0" fontId="4" fillId="0" borderId="14" xfId="0" applyFont="1" applyBorder="1" applyAlignment="1" applyProtection="1">
      <alignment horizontal="center" vertical="center" wrapText="1"/>
    </xf>
    <xf numFmtId="9" fontId="2" fillId="0" borderId="8" xfId="0" applyNumberFormat="1" applyFont="1" applyBorder="1" applyAlignment="1" applyProtection="1">
      <alignment horizontal="center" vertical="center" wrapText="1"/>
    </xf>
    <xf numFmtId="9" fontId="2" fillId="0" borderId="3" xfId="0" applyNumberFormat="1" applyFont="1" applyBorder="1" applyAlignment="1" applyProtection="1">
      <alignment horizontal="center" vertical="center" wrapText="1"/>
    </xf>
    <xf numFmtId="9" fontId="4" fillId="3" borderId="9" xfId="0" applyNumberFormat="1" applyFont="1" applyFill="1" applyBorder="1" applyAlignment="1" applyProtection="1">
      <alignment horizontal="center" vertical="center" wrapText="1"/>
      <protection locked="0"/>
    </xf>
    <xf numFmtId="9" fontId="4" fillId="3" borderId="4" xfId="0" applyNumberFormat="1" applyFont="1" applyFill="1" applyBorder="1" applyAlignment="1" applyProtection="1">
      <alignment horizontal="center" vertical="center" wrapText="1"/>
      <protection locked="0"/>
    </xf>
    <xf numFmtId="9" fontId="4" fillId="3" borderId="12" xfId="0" applyNumberFormat="1" applyFont="1" applyFill="1" applyBorder="1" applyAlignment="1" applyProtection="1">
      <alignment horizontal="center" vertical="center" wrapText="1"/>
      <protection locked="0"/>
    </xf>
    <xf numFmtId="9" fontId="4" fillId="3" borderId="14" xfId="0" applyNumberFormat="1" applyFont="1" applyFill="1" applyBorder="1" applyAlignment="1" applyProtection="1">
      <alignment horizontal="center" vertical="center" wrapText="1"/>
      <protection locked="0"/>
    </xf>
    <xf numFmtId="0" fontId="4" fillId="0" borderId="8" xfId="0" applyFont="1" applyBorder="1" applyAlignment="1" applyProtection="1">
      <alignment horizontal="left" vertical="center" wrapText="1"/>
      <protection locked="0"/>
    </xf>
    <xf numFmtId="0" fontId="4" fillId="0" borderId="2" xfId="0" applyFont="1" applyBorder="1" applyAlignment="1" applyProtection="1">
      <alignment horizontal="left" vertical="center" wrapText="1"/>
      <protection locked="0"/>
    </xf>
    <xf numFmtId="0" fontId="4" fillId="0" borderId="3" xfId="0" applyFont="1" applyBorder="1" applyAlignment="1" applyProtection="1">
      <alignment horizontal="left" vertical="center" wrapText="1"/>
      <protection locked="0"/>
    </xf>
    <xf numFmtId="0" fontId="5" fillId="0" borderId="9" xfId="0" applyFont="1" applyBorder="1" applyAlignment="1" applyProtection="1">
      <alignment horizontal="left" vertical="center" wrapText="1"/>
      <protection locked="0"/>
    </xf>
    <xf numFmtId="0" fontId="5" fillId="0" borderId="5" xfId="0" applyFont="1" applyBorder="1" applyAlignment="1" applyProtection="1">
      <alignment horizontal="left" vertical="center" wrapText="1"/>
      <protection locked="0"/>
    </xf>
    <xf numFmtId="0" fontId="5" fillId="0" borderId="4" xfId="0" applyFont="1" applyBorder="1" applyAlignment="1" applyProtection="1">
      <alignment horizontal="left" vertical="center" wrapText="1"/>
      <protection locked="0"/>
    </xf>
    <xf numFmtId="0" fontId="5" fillId="0" borderId="10" xfId="0" applyFont="1" applyBorder="1" applyAlignment="1" applyProtection="1">
      <alignment horizontal="left" vertical="center" wrapText="1"/>
      <protection locked="0"/>
    </xf>
    <xf numFmtId="0" fontId="5" fillId="0" borderId="0" xfId="0" applyFont="1" applyBorder="1" applyAlignment="1" applyProtection="1">
      <alignment horizontal="left" vertical="center" wrapText="1"/>
      <protection locked="0"/>
    </xf>
    <xf numFmtId="0" fontId="5" fillId="0" borderId="11" xfId="0" applyFont="1" applyBorder="1" applyAlignment="1" applyProtection="1">
      <alignment horizontal="left" vertical="center" wrapText="1"/>
      <protection locked="0"/>
    </xf>
    <xf numFmtId="0" fontId="5" fillId="0" borderId="12" xfId="0" applyFont="1" applyBorder="1" applyAlignment="1" applyProtection="1">
      <alignment horizontal="left" vertical="center" wrapText="1"/>
      <protection locked="0"/>
    </xf>
    <xf numFmtId="0" fontId="5" fillId="0" borderId="6" xfId="0" applyFont="1" applyBorder="1" applyAlignment="1" applyProtection="1">
      <alignment horizontal="left" vertical="center" wrapText="1"/>
      <protection locked="0"/>
    </xf>
    <xf numFmtId="0" fontId="5" fillId="0" borderId="14" xfId="0" applyFont="1" applyBorder="1" applyAlignment="1" applyProtection="1">
      <alignment horizontal="left" vertical="center" wrapText="1"/>
      <protection locked="0"/>
    </xf>
    <xf numFmtId="0" fontId="2" fillId="2" borderId="8" xfId="0" applyFont="1" applyFill="1" applyBorder="1" applyAlignment="1" applyProtection="1">
      <alignment horizontal="center" vertical="center"/>
    </xf>
    <xf numFmtId="0" fontId="2" fillId="2" borderId="2"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0" borderId="1" xfId="0" applyFont="1" applyBorder="1" applyAlignment="1" applyProtection="1">
      <alignment horizontal="left" vertical="center"/>
    </xf>
    <xf numFmtId="11" fontId="2" fillId="0" borderId="1" xfId="0" applyNumberFormat="1" applyFont="1" applyBorder="1" applyAlignment="1" applyProtection="1">
      <alignment horizontal="left" vertical="center"/>
    </xf>
    <xf numFmtId="0" fontId="4" fillId="0" borderId="1" xfId="0" applyFont="1" applyBorder="1" applyAlignment="1" applyProtection="1">
      <alignment horizontal="center"/>
      <protection locked="0"/>
    </xf>
    <xf numFmtId="0" fontId="2" fillId="0" borderId="1" xfId="0" applyFont="1" applyBorder="1" applyAlignment="1" applyProtection="1">
      <alignment horizontal="center" vertical="center" wrapText="1"/>
    </xf>
    <xf numFmtId="0" fontId="4" fillId="0" borderId="1" xfId="0" applyFont="1" applyBorder="1" applyAlignment="1" applyProtection="1">
      <alignment horizontal="center" vertical="center" wrapText="1"/>
    </xf>
    <xf numFmtId="0" fontId="2" fillId="0" borderId="15" xfId="0" applyFont="1" applyBorder="1" applyAlignment="1" applyProtection="1">
      <alignment horizontal="left" vertical="center"/>
    </xf>
    <xf numFmtId="0" fontId="2" fillId="0" borderId="13" xfId="0" applyFont="1" applyBorder="1" applyAlignment="1" applyProtection="1">
      <alignment horizontal="left" vertical="center"/>
    </xf>
    <xf numFmtId="0" fontId="2" fillId="3" borderId="1" xfId="0" applyFont="1" applyFill="1" applyBorder="1" applyAlignment="1" applyProtection="1">
      <alignment horizontal="center" vertical="center"/>
    </xf>
    <xf numFmtId="0" fontId="1" fillId="0" borderId="1" xfId="0" applyFont="1" applyBorder="1" applyAlignment="1" applyProtection="1">
      <alignment horizontal="center" vertical="center" wrapText="1"/>
    </xf>
    <xf numFmtId="0" fontId="1" fillId="0" borderId="1" xfId="0" applyFont="1" applyBorder="1" applyAlignment="1" applyProtection="1">
      <alignment horizontal="center" vertical="center"/>
    </xf>
    <xf numFmtId="0" fontId="2" fillId="2" borderId="8" xfId="0" applyFont="1" applyFill="1" applyBorder="1" applyAlignment="1" applyProtection="1">
      <alignment horizontal="center" vertical="center" wrapText="1"/>
    </xf>
    <xf numFmtId="0" fontId="2" fillId="2" borderId="2" xfId="0" applyFont="1" applyFill="1" applyBorder="1" applyAlignment="1" applyProtection="1">
      <alignment horizontal="center" vertical="center" wrapText="1"/>
    </xf>
    <xf numFmtId="0" fontId="2" fillId="2" borderId="3" xfId="0" applyFont="1" applyFill="1" applyBorder="1" applyAlignment="1" applyProtection="1">
      <alignment horizontal="center" vertical="center" wrapText="1"/>
    </xf>
    <xf numFmtId="0" fontId="14" fillId="4" borderId="1" xfId="0" applyFont="1" applyFill="1" applyBorder="1" applyAlignment="1" applyProtection="1">
      <alignment horizontal="left" vertical="center"/>
      <protection locked="0"/>
    </xf>
    <xf numFmtId="0" fontId="13" fillId="4" borderId="1" xfId="0" applyFont="1" applyFill="1" applyBorder="1" applyAlignment="1" applyProtection="1">
      <alignment horizontal="left" vertical="center"/>
      <protection locked="0"/>
    </xf>
    <xf numFmtId="0" fontId="13" fillId="3" borderId="8" xfId="0" applyFont="1" applyFill="1" applyBorder="1" applyAlignment="1" applyProtection="1">
      <alignment horizontal="left" vertical="center"/>
    </xf>
    <xf numFmtId="0" fontId="13" fillId="3" borderId="2" xfId="0" applyFont="1" applyFill="1" applyBorder="1" applyAlignment="1" applyProtection="1">
      <alignment horizontal="left" vertical="center"/>
    </xf>
    <xf numFmtId="0" fontId="13" fillId="3" borderId="3" xfId="0" applyFont="1" applyFill="1" applyBorder="1" applyAlignment="1" applyProtection="1">
      <alignment horizontal="left" vertical="center"/>
    </xf>
    <xf numFmtId="0" fontId="4" fillId="0" borderId="8" xfId="0" applyFont="1" applyFill="1" applyBorder="1" applyAlignment="1" applyProtection="1">
      <alignment horizontal="left" vertical="center" wrapText="1"/>
      <protection locked="0"/>
    </xf>
    <xf numFmtId="0" fontId="4" fillId="0" borderId="2" xfId="0" applyFont="1" applyFill="1" applyBorder="1" applyAlignment="1" applyProtection="1">
      <alignment horizontal="left" vertical="center" wrapText="1"/>
      <protection locked="0"/>
    </xf>
    <xf numFmtId="0" fontId="4" fillId="0" borderId="3" xfId="0" applyFont="1" applyFill="1" applyBorder="1" applyAlignment="1" applyProtection="1">
      <alignment horizontal="left" vertical="center" wrapText="1"/>
      <protection locked="0"/>
    </xf>
    <xf numFmtId="0" fontId="2" fillId="0" borderId="8" xfId="0" applyFont="1" applyBorder="1" applyAlignment="1" applyProtection="1">
      <alignment horizontal="center" vertical="center" wrapText="1"/>
    </xf>
    <xf numFmtId="0" fontId="2" fillId="0" borderId="3" xfId="0" applyFont="1" applyBorder="1" applyAlignment="1" applyProtection="1">
      <alignment horizontal="center" vertical="center" wrapText="1"/>
    </xf>
    <xf numFmtId="0" fontId="2" fillId="0" borderId="2" xfId="0" applyFont="1" applyBorder="1" applyAlignment="1" applyProtection="1">
      <alignment horizontal="center" vertical="center" wrapText="1"/>
    </xf>
    <xf numFmtId="0" fontId="2" fillId="3" borderId="8" xfId="0" applyFont="1" applyFill="1" applyBorder="1" applyAlignment="1" applyProtection="1">
      <alignment horizontal="center" vertical="center"/>
    </xf>
    <xf numFmtId="0" fontId="2" fillId="3" borderId="3" xfId="0" applyFont="1" applyFill="1" applyBorder="1" applyAlignment="1" applyProtection="1">
      <alignment horizontal="center" vertical="center"/>
    </xf>
    <xf numFmtId="0" fontId="6" fillId="0" borderId="10" xfId="0" applyFont="1" applyBorder="1" applyAlignment="1" applyProtection="1">
      <alignment horizontal="left" vertical="justify"/>
      <protection locked="0"/>
    </xf>
    <xf numFmtId="0" fontId="6" fillId="0" borderId="0" xfId="0" applyFont="1" applyBorder="1" applyAlignment="1" applyProtection="1">
      <alignment horizontal="left" vertical="justify"/>
      <protection locked="0"/>
    </xf>
    <xf numFmtId="0" fontId="6" fillId="0" borderId="11" xfId="0" applyFont="1" applyBorder="1" applyAlignment="1" applyProtection="1">
      <alignment horizontal="left" vertical="justify"/>
      <protection locked="0"/>
    </xf>
    <xf numFmtId="0" fontId="13" fillId="4" borderId="8" xfId="0" applyFont="1" applyFill="1" applyBorder="1" applyAlignment="1" applyProtection="1">
      <alignment horizontal="left" vertical="center"/>
      <protection locked="0"/>
    </xf>
    <xf numFmtId="0" fontId="13" fillId="4" borderId="2" xfId="0" applyFont="1" applyFill="1" applyBorder="1" applyAlignment="1" applyProtection="1">
      <alignment horizontal="left" vertical="center"/>
      <protection locked="0"/>
    </xf>
    <xf numFmtId="0" fontId="13" fillId="4" borderId="3" xfId="0" applyFont="1" applyFill="1" applyBorder="1" applyAlignment="1" applyProtection="1">
      <alignment horizontal="left" vertical="center"/>
      <protection locked="0"/>
    </xf>
    <xf numFmtId="0" fontId="2" fillId="0" borderId="1" xfId="0" applyFont="1" applyBorder="1" applyAlignment="1" applyProtection="1">
      <alignment horizontal="left" vertical="center"/>
      <protection locked="0"/>
    </xf>
    <xf numFmtId="0" fontId="2" fillId="0" borderId="15" xfId="0" applyFont="1" applyBorder="1" applyAlignment="1" applyProtection="1">
      <alignment horizontal="left" vertical="center"/>
      <protection locked="0"/>
    </xf>
    <xf numFmtId="1" fontId="4" fillId="3" borderId="8" xfId="0" applyNumberFormat="1" applyFont="1" applyFill="1" applyBorder="1" applyAlignment="1" applyProtection="1">
      <alignment horizontal="left" vertical="center" wrapText="1" indent="1"/>
      <protection locked="0"/>
    </xf>
    <xf numFmtId="1" fontId="4" fillId="3" borderId="2" xfId="0" applyNumberFormat="1" applyFont="1" applyFill="1" applyBorder="1" applyAlignment="1" applyProtection="1">
      <alignment horizontal="left" vertical="center" wrapText="1" indent="1"/>
      <protection locked="0"/>
    </xf>
    <xf numFmtId="1" fontId="4" fillId="3" borderId="3" xfId="0" applyNumberFormat="1" applyFont="1" applyFill="1" applyBorder="1" applyAlignment="1" applyProtection="1">
      <alignment horizontal="left" vertical="center" wrapText="1" indent="1"/>
      <protection locked="0"/>
    </xf>
    <xf numFmtId="1" fontId="4" fillId="3" borderId="8" xfId="0" applyNumberFormat="1" applyFont="1" applyFill="1" applyBorder="1" applyAlignment="1" applyProtection="1">
      <alignment horizontal="left" vertical="center" indent="1"/>
      <protection locked="0"/>
    </xf>
    <xf numFmtId="1" fontId="4" fillId="3" borderId="2" xfId="0" applyNumberFormat="1" applyFont="1" applyFill="1" applyBorder="1" applyAlignment="1" applyProtection="1">
      <alignment horizontal="left" vertical="center" indent="1"/>
      <protection locked="0"/>
    </xf>
    <xf numFmtId="1" fontId="4" fillId="3" borderId="3" xfId="0" applyNumberFormat="1" applyFont="1" applyFill="1" applyBorder="1" applyAlignment="1" applyProtection="1">
      <alignment horizontal="left" vertical="center" indent="1"/>
      <protection locked="0"/>
    </xf>
    <xf numFmtId="0" fontId="2" fillId="0" borderId="7" xfId="0" applyFont="1" applyBorder="1" applyAlignment="1" applyProtection="1">
      <alignment horizontal="left" vertical="center"/>
    </xf>
    <xf numFmtId="9" fontId="4" fillId="0" borderId="8" xfId="0" applyNumberFormat="1" applyFont="1" applyFill="1" applyBorder="1" applyAlignment="1" applyProtection="1">
      <alignment horizontal="center" vertical="center" wrapText="1"/>
      <protection locked="0"/>
    </xf>
    <xf numFmtId="9" fontId="4" fillId="0" borderId="3" xfId="0" applyNumberFormat="1" applyFont="1" applyFill="1" applyBorder="1" applyAlignment="1" applyProtection="1">
      <alignment horizontal="center" vertical="center" wrapText="1"/>
      <protection locked="0"/>
    </xf>
    <xf numFmtId="9" fontId="4" fillId="0" borderId="2" xfId="0" applyNumberFormat="1" applyFont="1" applyFill="1" applyBorder="1" applyAlignment="1" applyProtection="1">
      <alignment horizontal="center" vertical="center" wrapText="1"/>
      <protection locked="0"/>
    </xf>
    <xf numFmtId="0" fontId="4" fillId="0" borderId="1" xfId="0" applyFont="1" applyFill="1" applyBorder="1" applyAlignment="1" applyProtection="1">
      <alignment horizontal="left" vertical="center" wrapText="1"/>
      <protection locked="0"/>
    </xf>
    <xf numFmtId="0" fontId="4" fillId="0" borderId="1" xfId="0" applyFont="1" applyBorder="1" applyAlignment="1" applyProtection="1">
      <alignment horizontal="left" vertical="center" wrapText="1"/>
      <protection locked="0"/>
    </xf>
    <xf numFmtId="0" fontId="4" fillId="0" borderId="8" xfId="0" applyFont="1" applyBorder="1" applyAlignment="1" applyProtection="1">
      <alignment horizontal="left" vertical="center" wrapText="1"/>
    </xf>
    <xf numFmtId="0" fontId="4" fillId="0" borderId="2" xfId="0" applyFont="1" applyBorder="1" applyAlignment="1" applyProtection="1">
      <alignment horizontal="left" vertical="center" wrapText="1"/>
    </xf>
    <xf numFmtId="0" fontId="4" fillId="0" borderId="3" xfId="0" applyFont="1" applyBorder="1" applyAlignment="1" applyProtection="1">
      <alignment horizontal="left" vertical="center" wrapText="1"/>
    </xf>
    <xf numFmtId="0" fontId="2" fillId="2" borderId="1" xfId="0" applyFont="1" applyFill="1" applyBorder="1" applyAlignment="1" applyProtection="1">
      <alignment horizontal="center" vertical="center"/>
    </xf>
    <xf numFmtId="0" fontId="4" fillId="0" borderId="8" xfId="0" applyFont="1" applyBorder="1" applyAlignment="1" applyProtection="1">
      <alignment vertical="center" wrapText="1"/>
      <protection locked="0"/>
    </xf>
    <xf numFmtId="0" fontId="4" fillId="0" borderId="2" xfId="0" applyFont="1" applyBorder="1" applyAlignment="1" applyProtection="1">
      <alignment vertical="center" wrapText="1"/>
      <protection locked="0"/>
    </xf>
    <xf numFmtId="0" fontId="4" fillId="0" borderId="3" xfId="0" applyFont="1" applyBorder="1" applyAlignment="1" applyProtection="1">
      <alignment vertical="center" wrapText="1"/>
      <protection locked="0"/>
    </xf>
    <xf numFmtId="0" fontId="2" fillId="6" borderId="9" xfId="0" applyFont="1" applyFill="1" applyBorder="1" applyAlignment="1" applyProtection="1">
      <alignment horizontal="center" vertical="center"/>
    </xf>
    <xf numFmtId="0" fontId="2" fillId="6" borderId="5" xfId="0" applyFont="1" applyFill="1" applyBorder="1" applyAlignment="1" applyProtection="1">
      <alignment horizontal="center" vertical="center"/>
    </xf>
    <xf numFmtId="0" fontId="2" fillId="6" borderId="4" xfId="0" applyFont="1" applyFill="1" applyBorder="1" applyAlignment="1" applyProtection="1">
      <alignment horizontal="center" vertical="center"/>
    </xf>
    <xf numFmtId="0" fontId="2" fillId="6" borderId="12" xfId="0" applyFont="1" applyFill="1" applyBorder="1" applyAlignment="1" applyProtection="1">
      <alignment horizontal="center" vertical="center"/>
    </xf>
    <xf numFmtId="0" fontId="2" fillId="6" borderId="6" xfId="0" applyFont="1" applyFill="1" applyBorder="1" applyAlignment="1" applyProtection="1">
      <alignment horizontal="center" vertical="center"/>
    </xf>
    <xf numFmtId="0" fontId="2" fillId="6" borderId="14" xfId="0" applyFont="1" applyFill="1" applyBorder="1" applyAlignment="1" applyProtection="1">
      <alignment horizontal="center" vertical="center"/>
    </xf>
    <xf numFmtId="0" fontId="2" fillId="6" borderId="9" xfId="0" applyFont="1" applyFill="1" applyBorder="1" applyAlignment="1" applyProtection="1">
      <alignment horizontal="center" vertical="center" wrapText="1"/>
    </xf>
    <xf numFmtId="0" fontId="2" fillId="6" borderId="5" xfId="0" applyFont="1" applyFill="1" applyBorder="1" applyAlignment="1" applyProtection="1">
      <alignment horizontal="center" vertical="center" wrapText="1"/>
    </xf>
    <xf numFmtId="0" fontId="2" fillId="6" borderId="4" xfId="0" applyFont="1" applyFill="1" applyBorder="1" applyAlignment="1" applyProtection="1">
      <alignment horizontal="center" vertical="center" wrapText="1"/>
    </xf>
    <xf numFmtId="0" fontId="2" fillId="6" borderId="12" xfId="0" applyFont="1" applyFill="1" applyBorder="1" applyAlignment="1" applyProtection="1">
      <alignment horizontal="center" vertical="center" wrapText="1"/>
    </xf>
    <xf numFmtId="0" fontId="2" fillId="6" borderId="6" xfId="0" applyFont="1" applyFill="1" applyBorder="1" applyAlignment="1" applyProtection="1">
      <alignment horizontal="center" vertical="center" wrapText="1"/>
    </xf>
    <xf numFmtId="0" fontId="2" fillId="6" borderId="14" xfId="0" applyFont="1" applyFill="1" applyBorder="1" applyAlignment="1" applyProtection="1">
      <alignment horizontal="center" vertical="center" wrapText="1"/>
    </xf>
    <xf numFmtId="1" fontId="4" fillId="0" borderId="8" xfId="0" applyNumberFormat="1" applyFont="1" applyBorder="1" applyAlignment="1" applyProtection="1">
      <alignment horizontal="left" vertical="center" wrapText="1"/>
    </xf>
    <xf numFmtId="1" fontId="4" fillId="0" borderId="2" xfId="0" applyNumberFormat="1" applyFont="1" applyBorder="1" applyAlignment="1" applyProtection="1">
      <alignment horizontal="left" vertical="center" wrapText="1"/>
    </xf>
    <xf numFmtId="1" fontId="4" fillId="0" borderId="3" xfId="0" applyNumberFormat="1" applyFont="1" applyBorder="1" applyAlignment="1" applyProtection="1">
      <alignment horizontal="left" vertical="center" wrapText="1"/>
    </xf>
    <xf numFmtId="0" fontId="1" fillId="2" borderId="1" xfId="0" applyFont="1" applyFill="1" applyBorder="1" applyAlignment="1" applyProtection="1">
      <alignment horizontal="center" vertical="center" wrapText="1"/>
    </xf>
    <xf numFmtId="0" fontId="4" fillId="0" borderId="1" xfId="0" applyFont="1" applyFill="1" applyBorder="1" applyAlignment="1" applyProtection="1">
      <alignment horizontal="left" vertical="center" wrapText="1"/>
    </xf>
    <xf numFmtId="0" fontId="4" fillId="0" borderId="1" xfId="0" applyFont="1" applyBorder="1" applyAlignment="1" applyProtection="1">
      <alignment horizontal="left" vertical="center" wrapText="1"/>
    </xf>
    <xf numFmtId="0" fontId="4" fillId="0" borderId="1" xfId="0" applyFont="1" applyBorder="1" applyAlignment="1" applyProtection="1">
      <alignment horizontal="left" wrapText="1"/>
    </xf>
    <xf numFmtId="0" fontId="4" fillId="0" borderId="15" xfId="0" applyFont="1" applyBorder="1" applyAlignment="1" applyProtection="1">
      <alignment horizontal="left" vertical="center" wrapText="1"/>
    </xf>
    <xf numFmtId="0" fontId="4" fillId="0" borderId="9" xfId="0" applyFont="1" applyBorder="1" applyAlignment="1" applyProtection="1">
      <alignment horizontal="left" vertical="center" wrapText="1"/>
    </xf>
    <xf numFmtId="0" fontId="4" fillId="0" borderId="5" xfId="0" applyFont="1" applyBorder="1" applyAlignment="1" applyProtection="1">
      <alignment horizontal="left" vertical="center" wrapText="1"/>
    </xf>
    <xf numFmtId="0" fontId="4" fillId="0" borderId="4" xfId="0" applyFont="1" applyBorder="1" applyAlignment="1" applyProtection="1">
      <alignment horizontal="left" vertical="center" wrapText="1"/>
    </xf>
  </cellXfs>
  <cellStyles count="2">
    <cellStyle name="Normal" xfId="0" builtinId="0"/>
    <cellStyle name="Normal 2" xfId="1" xr:uid="{00000000-0005-0000-0000-000001000000}"/>
  </cellStyles>
  <dxfs count="0"/>
  <tableStyles count="0" defaultTableStyle="TableStyleMedium9" defaultPivotStyle="PivotStyleLight16"/>
  <colors>
    <mruColors>
      <color rgb="FFF8F8F8"/>
      <color rgb="FFEFE1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137859</xdr:colOff>
      <xdr:row>0</xdr:row>
      <xdr:rowOff>0</xdr:rowOff>
    </xdr:from>
    <xdr:to>
      <xdr:col>0</xdr:col>
      <xdr:colOff>2353628</xdr:colOff>
      <xdr:row>0</xdr:row>
      <xdr:rowOff>695325</xdr:rowOff>
    </xdr:to>
    <xdr:pic>
      <xdr:nvPicPr>
        <xdr:cNvPr id="1166" name="Imagen 1" descr="logo web">
          <a:extLst>
            <a:ext uri="{FF2B5EF4-FFF2-40B4-BE49-F238E27FC236}">
              <a16:creationId xmlns:a16="http://schemas.microsoft.com/office/drawing/2014/main" id="{00000000-0008-0000-0000-00008E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859" y="0"/>
          <a:ext cx="2215769"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60960</xdr:colOff>
      <xdr:row>10</xdr:row>
      <xdr:rowOff>76200</xdr:rowOff>
    </xdr:from>
    <xdr:to>
      <xdr:col>5</xdr:col>
      <xdr:colOff>312420</xdr:colOff>
      <xdr:row>10</xdr:row>
      <xdr:rowOff>213360</xdr:rowOff>
    </xdr:to>
    <xdr:sp macro="" textlink="">
      <xdr:nvSpPr>
        <xdr:cNvPr id="1062" name="Check Box 38" hidden="1">
          <a:extLst>
            <a:ext uri="{63B3BB69-23CF-44E3-9099-C40C66FF867C}">
              <a14:compatExt xmlns:a14="http://schemas.microsoft.com/office/drawing/2010/main"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Ciclo Básico Disciplinar</a:t>
          </a:r>
        </a:p>
      </xdr:txBody>
    </xdr:sp>
    <xdr:clientData/>
  </xdr:twoCellAnchor>
  <xdr:twoCellAnchor editAs="oneCell">
    <xdr:from>
      <xdr:col>1</xdr:col>
      <xdr:colOff>769620</xdr:colOff>
      <xdr:row>10</xdr:row>
      <xdr:rowOff>236220</xdr:rowOff>
    </xdr:from>
    <xdr:to>
      <xdr:col>2</xdr:col>
      <xdr:colOff>861060</xdr:colOff>
      <xdr:row>10</xdr:row>
      <xdr:rowOff>426720</xdr:rowOff>
    </xdr:to>
    <xdr:sp macro="" textlink="">
      <xdr:nvSpPr>
        <xdr:cNvPr id="1064" name="Check Box 40" hidden="1">
          <a:extLst>
            <a:ext uri="{63B3BB69-23CF-44E3-9099-C40C66FF867C}">
              <a14:compatExt xmlns:a14="http://schemas.microsoft.com/office/drawing/2010/main"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Ciclo Profesional</a:t>
          </a:r>
        </a:p>
      </xdr:txBody>
    </xdr:sp>
    <xdr:clientData/>
  </xdr:twoCellAnchor>
  <xdr:twoCellAnchor editAs="oneCell">
    <xdr:from>
      <xdr:col>4</xdr:col>
      <xdr:colOff>60960</xdr:colOff>
      <xdr:row>10</xdr:row>
      <xdr:rowOff>251460</xdr:rowOff>
    </xdr:from>
    <xdr:to>
      <xdr:col>5</xdr:col>
      <xdr:colOff>304800</xdr:colOff>
      <xdr:row>10</xdr:row>
      <xdr:rowOff>419100</xdr:rowOff>
    </xdr:to>
    <xdr:sp macro="" textlink="">
      <xdr:nvSpPr>
        <xdr:cNvPr id="1065" name="Check Box 41" hidden="1">
          <a:extLst>
            <a:ext uri="{63B3BB69-23CF-44E3-9099-C40C66FF867C}">
              <a14:compatExt xmlns:a14="http://schemas.microsoft.com/office/drawing/2010/main"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Ciclo de Integración</a:t>
          </a:r>
        </a:p>
      </xdr:txBody>
    </xdr:sp>
    <xdr:clientData/>
  </xdr:twoCellAnchor>
  <xdr:twoCellAnchor editAs="oneCell">
    <xdr:from>
      <xdr:col>1</xdr:col>
      <xdr:colOff>769620</xdr:colOff>
      <xdr:row>10</xdr:row>
      <xdr:rowOff>38100</xdr:rowOff>
    </xdr:from>
    <xdr:to>
      <xdr:col>3</xdr:col>
      <xdr:colOff>502920</xdr:colOff>
      <xdr:row>10</xdr:row>
      <xdr:rowOff>236220</xdr:rowOff>
    </xdr:to>
    <xdr:sp macro="" textlink="">
      <xdr:nvSpPr>
        <xdr:cNvPr id="1091" name="Check Box 67" hidden="1">
          <a:extLst>
            <a:ext uri="{63B3BB69-23CF-44E3-9099-C40C66FF867C}">
              <a14:compatExt xmlns:a14="http://schemas.microsoft.com/office/drawing/2010/main" spid="_x0000_s1091"/>
            </a:ext>
            <a:ext uri="{FF2B5EF4-FFF2-40B4-BE49-F238E27FC236}">
              <a16:creationId xmlns:a16="http://schemas.microsoft.com/office/drawing/2014/main" id="{00000000-0008-0000-0000-000043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Ciclo Básico de Formación Humanista</a:t>
          </a:r>
        </a:p>
      </xdr:txBody>
    </xdr:sp>
    <xdr:clientData/>
  </xdr:twoCellAnchor>
  <xdr:twoCellAnchor editAs="oneCell">
    <xdr:from>
      <xdr:col>1</xdr:col>
      <xdr:colOff>99060</xdr:colOff>
      <xdr:row>15</xdr:row>
      <xdr:rowOff>45720</xdr:rowOff>
    </xdr:from>
    <xdr:to>
      <xdr:col>2</xdr:col>
      <xdr:colOff>182880</xdr:colOff>
      <xdr:row>15</xdr:row>
      <xdr:rowOff>236220</xdr:rowOff>
    </xdr:to>
    <xdr:sp macro="" textlink="">
      <xdr:nvSpPr>
        <xdr:cNvPr id="1115" name="Check Box 91" hidden="1">
          <a:extLst>
            <a:ext uri="{63B3BB69-23CF-44E3-9099-C40C66FF867C}">
              <a14:compatExt xmlns:a14="http://schemas.microsoft.com/office/drawing/2010/main" spid="_x0000_s1115"/>
            </a:ext>
            <a:ext uri="{FF2B5EF4-FFF2-40B4-BE49-F238E27FC236}">
              <a16:creationId xmlns:a16="http://schemas.microsoft.com/office/drawing/2014/main" id="{00000000-0008-0000-0000-00005B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Presencial</a:t>
          </a:r>
        </a:p>
      </xdr:txBody>
    </xdr:sp>
    <xdr:clientData/>
  </xdr:twoCellAnchor>
  <xdr:twoCellAnchor editAs="oneCell">
    <xdr:from>
      <xdr:col>1</xdr:col>
      <xdr:colOff>106680</xdr:colOff>
      <xdr:row>15</xdr:row>
      <xdr:rowOff>327660</xdr:rowOff>
    </xdr:from>
    <xdr:to>
      <xdr:col>2</xdr:col>
      <xdr:colOff>190500</xdr:colOff>
      <xdr:row>16</xdr:row>
      <xdr:rowOff>121920</xdr:rowOff>
    </xdr:to>
    <xdr:sp macro="" textlink="">
      <xdr:nvSpPr>
        <xdr:cNvPr id="1116" name="Check Box 92" hidden="1">
          <a:extLst>
            <a:ext uri="{63B3BB69-23CF-44E3-9099-C40C66FF867C}">
              <a14:compatExt xmlns:a14="http://schemas.microsoft.com/office/drawing/2010/main" spid="_x0000_s1116"/>
            </a:ext>
            <a:ext uri="{FF2B5EF4-FFF2-40B4-BE49-F238E27FC236}">
              <a16:creationId xmlns:a16="http://schemas.microsoft.com/office/drawing/2014/main" id="{00000000-0008-0000-0000-00005C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Bimodal</a:t>
          </a:r>
        </a:p>
      </xdr:txBody>
    </xdr:sp>
    <xdr:clientData/>
  </xdr:twoCellAnchor>
  <xdr:twoCellAnchor editAs="oneCell">
    <xdr:from>
      <xdr:col>1</xdr:col>
      <xdr:colOff>106680</xdr:colOff>
      <xdr:row>16</xdr:row>
      <xdr:rowOff>228600</xdr:rowOff>
    </xdr:from>
    <xdr:to>
      <xdr:col>2</xdr:col>
      <xdr:colOff>190500</xdr:colOff>
      <xdr:row>17</xdr:row>
      <xdr:rowOff>160020</xdr:rowOff>
    </xdr:to>
    <xdr:sp macro="" textlink="">
      <xdr:nvSpPr>
        <xdr:cNvPr id="1117" name="Check Box 93" hidden="1">
          <a:extLst>
            <a:ext uri="{63B3BB69-23CF-44E3-9099-C40C66FF867C}">
              <a14:compatExt xmlns:a14="http://schemas.microsoft.com/office/drawing/2010/main" spid="_x0000_s1117"/>
            </a:ext>
            <a:ext uri="{FF2B5EF4-FFF2-40B4-BE49-F238E27FC236}">
              <a16:creationId xmlns:a16="http://schemas.microsoft.com/office/drawing/2014/main" id="{00000000-0008-0000-0000-00005D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Virtual</a:t>
          </a:r>
        </a:p>
      </xdr:txBody>
    </xdr:sp>
    <xdr:clientData/>
  </xdr:twoCellAnchor>
  <xdr:twoCellAnchor editAs="oneCell">
    <xdr:from>
      <xdr:col>0</xdr:col>
      <xdr:colOff>118809</xdr:colOff>
      <xdr:row>0</xdr:row>
      <xdr:rowOff>0</xdr:rowOff>
    </xdr:from>
    <xdr:to>
      <xdr:col>0</xdr:col>
      <xdr:colOff>2334578</xdr:colOff>
      <xdr:row>0</xdr:row>
      <xdr:rowOff>695325</xdr:rowOff>
    </xdr:to>
    <xdr:pic>
      <xdr:nvPicPr>
        <xdr:cNvPr id="20" name="Imagen 1" descr="logo web">
          <a:extLst>
            <a:ext uri="{FF2B5EF4-FFF2-40B4-BE49-F238E27FC236}">
              <a16:creationId xmlns:a16="http://schemas.microsoft.com/office/drawing/2014/main" id="{00000000-0008-0000-0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809" y="0"/>
          <a:ext cx="2215769" cy="695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523875</xdr:colOff>
      <xdr:row>10</xdr:row>
      <xdr:rowOff>0</xdr:rowOff>
    </xdr:from>
    <xdr:to>
      <xdr:col>5</xdr:col>
      <xdr:colOff>523875</xdr:colOff>
      <xdr:row>11</xdr:row>
      <xdr:rowOff>0</xdr:rowOff>
    </xdr:to>
    <xdr:cxnSp macro="">
      <xdr:nvCxnSpPr>
        <xdr:cNvPr id="3" name="Conector recto 2">
          <a:extLst>
            <a:ext uri="{FF2B5EF4-FFF2-40B4-BE49-F238E27FC236}">
              <a16:creationId xmlns:a16="http://schemas.microsoft.com/office/drawing/2014/main" id="{00000000-0008-0000-0000-000003000000}"/>
            </a:ext>
          </a:extLst>
        </xdr:cNvPr>
        <xdr:cNvCxnSpPr/>
      </xdr:nvCxnSpPr>
      <xdr:spPr>
        <a:xfrm>
          <a:off x="6696075" y="3057525"/>
          <a:ext cx="0" cy="4476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7</xdr:col>
      <xdr:colOff>106680</xdr:colOff>
      <xdr:row>15</xdr:row>
      <xdr:rowOff>83820</xdr:rowOff>
    </xdr:from>
    <xdr:to>
      <xdr:col>7</xdr:col>
      <xdr:colOff>708660</xdr:colOff>
      <xdr:row>15</xdr:row>
      <xdr:rowOff>274320</xdr:rowOff>
    </xdr:to>
    <xdr:sp macro="" textlink="">
      <xdr:nvSpPr>
        <xdr:cNvPr id="1183" name="Check Box 159" hidden="1">
          <a:extLst>
            <a:ext uri="{63B3BB69-23CF-44E3-9099-C40C66FF867C}">
              <a14:compatExt xmlns:a14="http://schemas.microsoft.com/office/drawing/2010/main" spid="_x0000_s1183"/>
            </a:ext>
            <a:ext uri="{FF2B5EF4-FFF2-40B4-BE49-F238E27FC236}">
              <a16:creationId xmlns:a16="http://schemas.microsoft.com/office/drawing/2014/main" id="{00000000-0008-0000-0000-00009F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Teórico</a:t>
          </a:r>
        </a:p>
      </xdr:txBody>
    </xdr:sp>
    <xdr:clientData/>
  </xdr:twoCellAnchor>
  <xdr:twoCellAnchor editAs="oneCell">
    <xdr:from>
      <xdr:col>7</xdr:col>
      <xdr:colOff>106680</xdr:colOff>
      <xdr:row>15</xdr:row>
      <xdr:rowOff>304800</xdr:rowOff>
    </xdr:from>
    <xdr:to>
      <xdr:col>7</xdr:col>
      <xdr:colOff>762000</xdr:colOff>
      <xdr:row>16</xdr:row>
      <xdr:rowOff>114300</xdr:rowOff>
    </xdr:to>
    <xdr:sp macro="" textlink="">
      <xdr:nvSpPr>
        <xdr:cNvPr id="1184" name="Check Box 160" hidden="1">
          <a:extLst>
            <a:ext uri="{63B3BB69-23CF-44E3-9099-C40C66FF867C}">
              <a14:compatExt xmlns:a14="http://schemas.microsoft.com/office/drawing/2010/main" spid="_x0000_s1184"/>
            </a:ext>
            <a:ext uri="{FF2B5EF4-FFF2-40B4-BE49-F238E27FC236}">
              <a16:creationId xmlns:a16="http://schemas.microsoft.com/office/drawing/2014/main" id="{00000000-0008-0000-0000-0000A0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Práctico</a:t>
          </a:r>
        </a:p>
      </xdr:txBody>
    </xdr:sp>
    <xdr:clientData/>
  </xdr:twoCellAnchor>
  <xdr:twoCellAnchor editAs="oneCell">
    <xdr:from>
      <xdr:col>7</xdr:col>
      <xdr:colOff>106680</xdr:colOff>
      <xdr:row>16</xdr:row>
      <xdr:rowOff>160020</xdr:rowOff>
    </xdr:from>
    <xdr:to>
      <xdr:col>7</xdr:col>
      <xdr:colOff>899160</xdr:colOff>
      <xdr:row>17</xdr:row>
      <xdr:rowOff>83820</xdr:rowOff>
    </xdr:to>
    <xdr:sp macro="" textlink="">
      <xdr:nvSpPr>
        <xdr:cNvPr id="1185" name="Check Box 161" hidden="1">
          <a:extLst>
            <a:ext uri="{63B3BB69-23CF-44E3-9099-C40C66FF867C}">
              <a14:compatExt xmlns:a14="http://schemas.microsoft.com/office/drawing/2010/main" spid="_x0000_s1185"/>
            </a:ext>
            <a:ext uri="{FF2B5EF4-FFF2-40B4-BE49-F238E27FC236}">
              <a16:creationId xmlns:a16="http://schemas.microsoft.com/office/drawing/2014/main" id="{00000000-0008-0000-0000-0000A1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Laboratorio</a:t>
          </a:r>
        </a:p>
      </xdr:txBody>
    </xdr:sp>
    <xdr:clientData/>
  </xdr:twoCellAnchor>
  <xdr:twoCellAnchor editAs="oneCell">
    <xdr:from>
      <xdr:col>7</xdr:col>
      <xdr:colOff>1066800</xdr:colOff>
      <xdr:row>15</xdr:row>
      <xdr:rowOff>335280</xdr:rowOff>
    </xdr:from>
    <xdr:to>
      <xdr:col>8</xdr:col>
      <xdr:colOff>800100</xdr:colOff>
      <xdr:row>16</xdr:row>
      <xdr:rowOff>137160</xdr:rowOff>
    </xdr:to>
    <xdr:sp macro="" textlink="">
      <xdr:nvSpPr>
        <xdr:cNvPr id="1186" name="Check Box 162" hidden="1">
          <a:extLst>
            <a:ext uri="{63B3BB69-23CF-44E3-9099-C40C66FF867C}">
              <a14:compatExt xmlns:a14="http://schemas.microsoft.com/office/drawing/2010/main" spid="_x0000_s1186"/>
            </a:ext>
            <a:ext uri="{FF2B5EF4-FFF2-40B4-BE49-F238E27FC236}">
              <a16:creationId xmlns:a16="http://schemas.microsoft.com/office/drawing/2014/main" id="{00000000-0008-0000-0000-0000A2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Teórico - Práctico</a:t>
          </a:r>
        </a:p>
      </xdr:txBody>
    </xdr:sp>
    <xdr:clientData/>
  </xdr:twoCellAnchor>
  <xdr:twoCellAnchor editAs="oneCell">
    <xdr:from>
      <xdr:col>9</xdr:col>
      <xdr:colOff>45720</xdr:colOff>
      <xdr:row>15</xdr:row>
      <xdr:rowOff>160020</xdr:rowOff>
    </xdr:from>
    <xdr:to>
      <xdr:col>10</xdr:col>
      <xdr:colOff>182880</xdr:colOff>
      <xdr:row>15</xdr:row>
      <xdr:rowOff>335280</xdr:rowOff>
    </xdr:to>
    <xdr:sp macro="" textlink="">
      <xdr:nvSpPr>
        <xdr:cNvPr id="1187" name="Check Box 163" hidden="1">
          <a:extLst>
            <a:ext uri="{63B3BB69-23CF-44E3-9099-C40C66FF867C}">
              <a14:compatExt xmlns:a14="http://schemas.microsoft.com/office/drawing/2010/main" spid="_x0000_s1187"/>
            </a:ext>
            <a:ext uri="{FF2B5EF4-FFF2-40B4-BE49-F238E27FC236}">
              <a16:creationId xmlns:a16="http://schemas.microsoft.com/office/drawing/2014/main" id="{00000000-0008-0000-0000-0000A3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Práctica externa</a:t>
          </a:r>
        </a:p>
      </xdr:txBody>
    </xdr:sp>
    <xdr:clientData/>
  </xdr:twoCellAnchor>
  <xdr:twoCellAnchor editAs="oneCell">
    <xdr:from>
      <xdr:col>7</xdr:col>
      <xdr:colOff>1066800</xdr:colOff>
      <xdr:row>16</xdr:row>
      <xdr:rowOff>175260</xdr:rowOff>
    </xdr:from>
    <xdr:to>
      <xdr:col>8</xdr:col>
      <xdr:colOff>990600</xdr:colOff>
      <xdr:row>17</xdr:row>
      <xdr:rowOff>83820</xdr:rowOff>
    </xdr:to>
    <xdr:sp macro="" textlink="">
      <xdr:nvSpPr>
        <xdr:cNvPr id="1188" name="Check Box 164" hidden="1">
          <a:extLst>
            <a:ext uri="{63B3BB69-23CF-44E3-9099-C40C66FF867C}">
              <a14:compatExt xmlns:a14="http://schemas.microsoft.com/office/drawing/2010/main" spid="_x0000_s1188"/>
            </a:ext>
            <a:ext uri="{FF2B5EF4-FFF2-40B4-BE49-F238E27FC236}">
              <a16:creationId xmlns:a16="http://schemas.microsoft.com/office/drawing/2014/main" id="{00000000-0008-0000-0000-0000A4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Docencia Asistencia</a:t>
          </a:r>
        </a:p>
      </xdr:txBody>
    </xdr:sp>
    <xdr:clientData/>
  </xdr:twoCellAnchor>
  <xdr:twoCellAnchor editAs="oneCell">
    <xdr:from>
      <xdr:col>7</xdr:col>
      <xdr:colOff>1066800</xdr:colOff>
      <xdr:row>15</xdr:row>
      <xdr:rowOff>99060</xdr:rowOff>
    </xdr:from>
    <xdr:to>
      <xdr:col>8</xdr:col>
      <xdr:colOff>754380</xdr:colOff>
      <xdr:row>15</xdr:row>
      <xdr:rowOff>274320</xdr:rowOff>
    </xdr:to>
    <xdr:sp macro="" textlink="">
      <xdr:nvSpPr>
        <xdr:cNvPr id="1189" name="Check Box 165" hidden="1">
          <a:extLst>
            <a:ext uri="{63B3BB69-23CF-44E3-9099-C40C66FF867C}">
              <a14:compatExt xmlns:a14="http://schemas.microsoft.com/office/drawing/2010/main" spid="_x0000_s1189"/>
            </a:ext>
            <a:ext uri="{FF2B5EF4-FFF2-40B4-BE49-F238E27FC236}">
              <a16:creationId xmlns:a16="http://schemas.microsoft.com/office/drawing/2014/main" id="{00000000-0008-0000-0000-0000A5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Taller</a:t>
          </a:r>
        </a:p>
      </xdr:txBody>
    </xdr:sp>
    <xdr:clientData/>
  </xdr:twoCellAnchor>
  <xdr:twoCellAnchor editAs="oneCell">
    <xdr:from>
      <xdr:col>9</xdr:col>
      <xdr:colOff>45720</xdr:colOff>
      <xdr:row>15</xdr:row>
      <xdr:rowOff>335280</xdr:rowOff>
    </xdr:from>
    <xdr:to>
      <xdr:col>10</xdr:col>
      <xdr:colOff>60960</xdr:colOff>
      <xdr:row>17</xdr:row>
      <xdr:rowOff>83820</xdr:rowOff>
    </xdr:to>
    <xdr:sp macro="" textlink="">
      <xdr:nvSpPr>
        <xdr:cNvPr id="1190" name="Check Box 166" hidden="1">
          <a:extLst>
            <a:ext uri="{63B3BB69-23CF-44E3-9099-C40C66FF867C}">
              <a14:compatExt xmlns:a14="http://schemas.microsoft.com/office/drawing/2010/main" spid="_x0000_s1190"/>
            </a:ext>
            <a:ext uri="{FF2B5EF4-FFF2-40B4-BE49-F238E27FC236}">
              <a16:creationId xmlns:a16="http://schemas.microsoft.com/office/drawing/2014/main" id="{00000000-0008-0000-0000-0000A6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Tutoría</a:t>
          </a:r>
        </a:p>
      </xdr:txBody>
    </xdr:sp>
    <xdr:clientData/>
  </xdr:twoCellAnchor>
  <xdr:twoCellAnchor editAs="oneCell">
    <xdr:from>
      <xdr:col>8</xdr:col>
      <xdr:colOff>213360</xdr:colOff>
      <xdr:row>10</xdr:row>
      <xdr:rowOff>38100</xdr:rowOff>
    </xdr:from>
    <xdr:to>
      <xdr:col>9</xdr:col>
      <xdr:colOff>228600</xdr:colOff>
      <xdr:row>10</xdr:row>
      <xdr:rowOff>228600</xdr:rowOff>
    </xdr:to>
    <xdr:sp macro="" textlink="">
      <xdr:nvSpPr>
        <xdr:cNvPr id="1205" name="Check Box 181" hidden="1">
          <a:extLst>
            <a:ext uri="{63B3BB69-23CF-44E3-9099-C40C66FF867C}">
              <a14:compatExt xmlns:a14="http://schemas.microsoft.com/office/drawing/2010/main" spid="_x0000_s1205"/>
            </a:ext>
            <a:ext uri="{FF2B5EF4-FFF2-40B4-BE49-F238E27FC236}">
              <a16:creationId xmlns:a16="http://schemas.microsoft.com/office/drawing/2014/main" id="{00000000-0008-0000-0000-0000B5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Ciclo Disciplinar</a:t>
          </a:r>
        </a:p>
      </xdr:txBody>
    </xdr:sp>
    <xdr:clientData/>
  </xdr:twoCellAnchor>
  <xdr:twoCellAnchor editAs="oneCell">
    <xdr:from>
      <xdr:col>6</xdr:col>
      <xdr:colOff>259080</xdr:colOff>
      <xdr:row>10</xdr:row>
      <xdr:rowOff>251460</xdr:rowOff>
    </xdr:from>
    <xdr:to>
      <xdr:col>7</xdr:col>
      <xdr:colOff>556260</xdr:colOff>
      <xdr:row>10</xdr:row>
      <xdr:rowOff>419100</xdr:rowOff>
    </xdr:to>
    <xdr:sp macro="" textlink="">
      <xdr:nvSpPr>
        <xdr:cNvPr id="1206" name="Check Box 182" hidden="1">
          <a:extLst>
            <a:ext uri="{63B3BB69-23CF-44E3-9099-C40C66FF867C}">
              <a14:compatExt xmlns:a14="http://schemas.microsoft.com/office/drawing/2010/main" spid="_x0000_s1206"/>
            </a:ext>
            <a:ext uri="{FF2B5EF4-FFF2-40B4-BE49-F238E27FC236}">
              <a16:creationId xmlns:a16="http://schemas.microsoft.com/office/drawing/2014/main" id="{00000000-0008-0000-0000-0000B6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Ciclo de Investigación</a:t>
          </a:r>
        </a:p>
      </xdr:txBody>
    </xdr:sp>
    <xdr:clientData/>
  </xdr:twoCellAnchor>
  <xdr:twoCellAnchor editAs="oneCell">
    <xdr:from>
      <xdr:col>6</xdr:col>
      <xdr:colOff>259080</xdr:colOff>
      <xdr:row>10</xdr:row>
      <xdr:rowOff>38100</xdr:rowOff>
    </xdr:from>
    <xdr:to>
      <xdr:col>7</xdr:col>
      <xdr:colOff>1203960</xdr:colOff>
      <xdr:row>10</xdr:row>
      <xdr:rowOff>236220</xdr:rowOff>
    </xdr:to>
    <xdr:sp macro="" textlink="">
      <xdr:nvSpPr>
        <xdr:cNvPr id="1208" name="Check Box 184" hidden="1">
          <a:extLst>
            <a:ext uri="{63B3BB69-23CF-44E3-9099-C40C66FF867C}">
              <a14:compatExt xmlns:a14="http://schemas.microsoft.com/office/drawing/2010/main" spid="_x0000_s1208"/>
            </a:ext>
            <a:ext uri="{FF2B5EF4-FFF2-40B4-BE49-F238E27FC236}">
              <a16:creationId xmlns:a16="http://schemas.microsoft.com/office/drawing/2014/main" id="{00000000-0008-0000-0000-0000B8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Ciclo Básico de Formación Humanista</a:t>
          </a:r>
        </a:p>
      </xdr:txBody>
    </xdr:sp>
    <xdr:clientData/>
  </xdr:twoCellAnchor>
  <xdr:twoCellAnchor>
    <xdr:from>
      <xdr:col>9</xdr:col>
      <xdr:colOff>257175</xdr:colOff>
      <xdr:row>10</xdr:row>
      <xdr:rowOff>0</xdr:rowOff>
    </xdr:from>
    <xdr:to>
      <xdr:col>9</xdr:col>
      <xdr:colOff>257175</xdr:colOff>
      <xdr:row>11</xdr:row>
      <xdr:rowOff>0</xdr:rowOff>
    </xdr:to>
    <xdr:cxnSp macro="">
      <xdr:nvCxnSpPr>
        <xdr:cNvPr id="38" name="Conector recto 37">
          <a:extLst>
            <a:ext uri="{FF2B5EF4-FFF2-40B4-BE49-F238E27FC236}">
              <a16:creationId xmlns:a16="http://schemas.microsoft.com/office/drawing/2014/main" id="{00000000-0008-0000-0000-000026000000}"/>
            </a:ext>
          </a:extLst>
        </xdr:cNvPr>
        <xdr:cNvCxnSpPr/>
      </xdr:nvCxnSpPr>
      <xdr:spPr>
        <a:xfrm>
          <a:off x="10763250" y="3057525"/>
          <a:ext cx="0" cy="44767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9</xdr:col>
      <xdr:colOff>342900</xdr:colOff>
      <xdr:row>10</xdr:row>
      <xdr:rowOff>137160</xdr:rowOff>
    </xdr:from>
    <xdr:to>
      <xdr:col>10</xdr:col>
      <xdr:colOff>22860</xdr:colOff>
      <xdr:row>10</xdr:row>
      <xdr:rowOff>327660</xdr:rowOff>
    </xdr:to>
    <xdr:sp macro="" textlink="">
      <xdr:nvSpPr>
        <xdr:cNvPr id="1209" name="Check Box 185" hidden="1">
          <a:extLst>
            <a:ext uri="{63B3BB69-23CF-44E3-9099-C40C66FF867C}">
              <a14:compatExt xmlns:a14="http://schemas.microsoft.com/office/drawing/2010/main" spid="_x0000_s1209"/>
            </a:ext>
            <a:ext uri="{FF2B5EF4-FFF2-40B4-BE49-F238E27FC236}">
              <a16:creationId xmlns:a16="http://schemas.microsoft.com/office/drawing/2014/main" id="{00000000-0008-0000-0000-0000B904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No aplica</a:t>
          </a:r>
        </a:p>
      </xdr:txBody>
    </xdr:sp>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0" tint="-0.14999847407452621"/>
  </sheetPr>
  <dimension ref="A1:U75"/>
  <sheetViews>
    <sheetView showGridLines="0" tabSelected="1" topLeftCell="A24" zoomScaleNormal="100" zoomScaleSheetLayoutView="118" zoomScalePageLayoutView="112" workbookViewId="0">
      <selection activeCell="G30" sqref="G30:J53"/>
    </sheetView>
  </sheetViews>
  <sheetFormatPr defaultColWidth="11.42578125" defaultRowHeight="13.15"/>
  <cols>
    <col min="1" max="1" width="36.42578125" style="34" customWidth="1"/>
    <col min="2" max="2" width="15.140625" style="35" customWidth="1"/>
    <col min="3" max="3" width="16.85546875" style="26" customWidth="1"/>
    <col min="4" max="4" width="11.85546875" style="26" customWidth="1"/>
    <col min="5" max="5" width="14.28515625" style="26" customWidth="1"/>
    <col min="6" max="6" width="18.7109375" style="26" customWidth="1"/>
    <col min="7" max="7" width="13.85546875" style="26" customWidth="1"/>
    <col min="8" max="8" width="19.42578125" style="26" customWidth="1"/>
    <col min="9" max="9" width="15.140625" style="26" customWidth="1"/>
    <col min="10" max="10" width="16.28515625" style="26" customWidth="1"/>
    <col min="11" max="16384" width="11.42578125" style="26"/>
  </cols>
  <sheetData>
    <row r="1" spans="1:21" ht="61.5" customHeight="1">
      <c r="A1" s="25"/>
      <c r="B1" s="174" t="s">
        <v>0</v>
      </c>
      <c r="C1" s="175"/>
      <c r="D1" s="175"/>
      <c r="E1" s="175"/>
      <c r="F1" s="175"/>
      <c r="G1" s="175"/>
      <c r="H1" s="175"/>
      <c r="I1" s="175"/>
      <c r="J1" s="175"/>
    </row>
    <row r="2" spans="1:21" ht="4.5" customHeight="1">
      <c r="A2" s="192"/>
      <c r="B2" s="193"/>
      <c r="C2" s="193"/>
      <c r="D2" s="193"/>
      <c r="E2" s="193"/>
      <c r="F2" s="193"/>
      <c r="G2" s="193"/>
      <c r="H2" s="193"/>
      <c r="I2" s="193"/>
      <c r="J2" s="194"/>
    </row>
    <row r="3" spans="1:21" s="28" customFormat="1" ht="15" customHeight="1">
      <c r="A3" s="176" t="s">
        <v>1</v>
      </c>
      <c r="B3" s="177"/>
      <c r="C3" s="177"/>
      <c r="D3" s="177"/>
      <c r="E3" s="177"/>
      <c r="F3" s="177"/>
      <c r="G3" s="177"/>
      <c r="H3" s="177"/>
      <c r="I3" s="177"/>
      <c r="J3" s="178"/>
      <c r="K3" s="27"/>
      <c r="L3" s="27"/>
      <c r="M3" s="27"/>
      <c r="N3" s="27"/>
      <c r="O3" s="27"/>
      <c r="P3" s="27"/>
      <c r="Q3" s="27"/>
      <c r="R3" s="27"/>
      <c r="S3" s="27"/>
      <c r="T3" s="27"/>
      <c r="U3" s="27"/>
    </row>
    <row r="4" spans="1:21" s="29" customFormat="1" ht="21.75" customHeight="1">
      <c r="A4" s="81" t="s">
        <v>2</v>
      </c>
      <c r="B4" s="184" t="s">
        <v>3</v>
      </c>
      <c r="C4" s="185"/>
      <c r="D4" s="185"/>
      <c r="E4" s="185"/>
      <c r="F4" s="185"/>
      <c r="G4" s="185"/>
      <c r="H4" s="185"/>
      <c r="I4" s="185"/>
      <c r="J4" s="186"/>
      <c r="K4" s="27"/>
      <c r="L4" s="27"/>
      <c r="M4" s="27"/>
      <c r="N4" s="27"/>
      <c r="O4" s="27"/>
      <c r="P4" s="27"/>
      <c r="Q4" s="27"/>
      <c r="R4" s="27"/>
      <c r="S4" s="27"/>
      <c r="T4" s="27"/>
      <c r="U4" s="27"/>
    </row>
    <row r="5" spans="1:21" s="24" customFormat="1" ht="20.25" customHeight="1">
      <c r="A5" s="81" t="s">
        <v>4</v>
      </c>
      <c r="B5" s="181" t="s">
        <v>5</v>
      </c>
      <c r="C5" s="182"/>
      <c r="D5" s="182"/>
      <c r="E5" s="182"/>
      <c r="F5" s="182"/>
      <c r="G5" s="182"/>
      <c r="H5" s="182"/>
      <c r="I5" s="182"/>
      <c r="J5" s="183"/>
    </row>
    <row r="6" spans="1:21" s="24" customFormat="1" ht="21" customHeight="1">
      <c r="A6" s="81" t="s">
        <v>6</v>
      </c>
      <c r="B6" s="180" t="s">
        <v>7</v>
      </c>
      <c r="C6" s="180"/>
      <c r="D6" s="180"/>
      <c r="E6" s="180"/>
      <c r="F6" s="180"/>
      <c r="G6" s="180"/>
      <c r="H6" s="180"/>
      <c r="I6" s="180"/>
      <c r="J6" s="180"/>
    </row>
    <row r="7" spans="1:21" s="24" customFormat="1" ht="21" customHeight="1">
      <c r="A7" s="11" t="s">
        <v>8</v>
      </c>
      <c r="B7" s="195" t="s">
        <v>9</v>
      </c>
      <c r="C7" s="196"/>
      <c r="D7" s="196"/>
      <c r="E7" s="196"/>
      <c r="F7" s="196"/>
      <c r="G7" s="196"/>
      <c r="H7" s="196"/>
      <c r="I7" s="196"/>
      <c r="J7" s="197"/>
    </row>
    <row r="8" spans="1:21" s="28" customFormat="1" ht="27" customHeight="1">
      <c r="A8" s="7" t="s">
        <v>10</v>
      </c>
      <c r="B8" s="179" t="s">
        <v>11</v>
      </c>
      <c r="C8" s="179"/>
      <c r="D8" s="179"/>
      <c r="E8" s="179"/>
      <c r="F8" s="179"/>
      <c r="G8" s="179"/>
      <c r="H8" s="179"/>
      <c r="I8" s="179"/>
      <c r="J8" s="179"/>
      <c r="K8" s="58"/>
      <c r="L8" s="58"/>
      <c r="M8" s="58"/>
      <c r="N8" s="58"/>
      <c r="O8" s="58"/>
      <c r="P8" s="58"/>
      <c r="Q8" s="58"/>
      <c r="R8" s="58"/>
    </row>
    <row r="9" spans="1:21" s="24" customFormat="1" ht="25.5" customHeight="1">
      <c r="A9" s="7" t="s">
        <v>12</v>
      </c>
      <c r="B9" s="180" t="s">
        <v>13</v>
      </c>
      <c r="C9" s="180"/>
      <c r="D9" s="180"/>
      <c r="E9" s="180"/>
      <c r="F9" s="180"/>
      <c r="G9" s="180"/>
      <c r="H9" s="180"/>
      <c r="I9" s="180"/>
      <c r="J9" s="180"/>
    </row>
    <row r="10" spans="1:21" s="24" customFormat="1" ht="25.5" customHeight="1">
      <c r="A10" s="7" t="s">
        <v>14</v>
      </c>
      <c r="B10" s="195" t="s">
        <v>15</v>
      </c>
      <c r="C10" s="196"/>
      <c r="D10" s="196"/>
      <c r="E10" s="196"/>
      <c r="F10" s="196"/>
      <c r="G10" s="196"/>
      <c r="H10" s="196"/>
      <c r="I10" s="196"/>
      <c r="J10" s="197"/>
    </row>
    <row r="11" spans="1:21" s="24" customFormat="1" ht="35.25" customHeight="1">
      <c r="A11" s="81" t="s">
        <v>16</v>
      </c>
      <c r="B11" s="198" t="s">
        <v>17</v>
      </c>
      <c r="C11" s="199"/>
      <c r="D11" s="199"/>
      <c r="E11" s="199"/>
      <c r="F11" s="199"/>
      <c r="G11" s="199"/>
      <c r="H11" s="199"/>
      <c r="I11" s="199"/>
      <c r="J11" s="199"/>
    </row>
    <row r="12" spans="1:21" s="13" customFormat="1" ht="24" customHeight="1">
      <c r="A12" s="171" t="s">
        <v>18</v>
      </c>
      <c r="B12" s="75" t="s">
        <v>19</v>
      </c>
      <c r="C12" s="200">
        <v>2</v>
      </c>
      <c r="D12" s="201"/>
      <c r="E12" s="201"/>
      <c r="F12" s="201"/>
      <c r="G12" s="201"/>
      <c r="H12" s="201"/>
      <c r="I12" s="201"/>
      <c r="J12" s="202"/>
      <c r="K12" s="55"/>
    </row>
    <row r="13" spans="1:21" s="13" customFormat="1" ht="24" customHeight="1">
      <c r="A13" s="206"/>
      <c r="B13" s="80" t="s">
        <v>20</v>
      </c>
      <c r="C13" s="203">
        <v>2</v>
      </c>
      <c r="D13" s="204"/>
      <c r="E13" s="204"/>
      <c r="F13" s="204"/>
      <c r="G13" s="204"/>
      <c r="H13" s="204"/>
      <c r="I13" s="204"/>
      <c r="J13" s="205"/>
    </row>
    <row r="14" spans="1:21" s="55" customFormat="1" ht="24.75" customHeight="1">
      <c r="A14" s="171" t="s">
        <v>21</v>
      </c>
      <c r="B14" s="187" t="s">
        <v>22</v>
      </c>
      <c r="C14" s="188"/>
      <c r="D14" s="187" t="s">
        <v>23</v>
      </c>
      <c r="E14" s="189"/>
      <c r="F14" s="188"/>
      <c r="G14" s="187" t="s">
        <v>24</v>
      </c>
      <c r="H14" s="188"/>
      <c r="I14" s="190" t="s">
        <v>25</v>
      </c>
      <c r="J14" s="191"/>
      <c r="K14" s="54"/>
    </row>
    <row r="15" spans="1:21" s="55" customFormat="1" ht="24.75" customHeight="1">
      <c r="A15" s="172"/>
      <c r="B15" s="124"/>
      <c r="C15" s="125"/>
      <c r="D15" s="124">
        <v>64</v>
      </c>
      <c r="E15" s="126"/>
      <c r="F15" s="125"/>
      <c r="G15" s="124">
        <v>32</v>
      </c>
      <c r="H15" s="125"/>
      <c r="I15" s="127"/>
      <c r="J15" s="128"/>
      <c r="K15" s="54"/>
    </row>
    <row r="16" spans="1:21" s="30" customFormat="1" ht="30.75" customHeight="1">
      <c r="A16" s="166" t="s">
        <v>26</v>
      </c>
      <c r="B16" s="168"/>
      <c r="C16" s="82" t="s">
        <v>27</v>
      </c>
      <c r="D16" s="145" t="s">
        <v>28</v>
      </c>
      <c r="E16" s="146"/>
      <c r="F16" s="169" t="s">
        <v>29</v>
      </c>
      <c r="G16" s="170"/>
      <c r="H16" s="136"/>
      <c r="I16" s="137"/>
      <c r="J16" s="138"/>
    </row>
    <row r="17" spans="1:10" s="30" customFormat="1" ht="20.25" customHeight="1">
      <c r="A17" s="166"/>
      <c r="B17" s="168"/>
      <c r="C17" s="129">
        <v>1</v>
      </c>
      <c r="D17" s="147"/>
      <c r="E17" s="148"/>
      <c r="F17" s="170"/>
      <c r="G17" s="170"/>
      <c r="H17" s="139"/>
      <c r="I17" s="140"/>
      <c r="J17" s="141"/>
    </row>
    <row r="18" spans="1:10" s="30" customFormat="1" ht="15.75" customHeight="1">
      <c r="A18" s="166"/>
      <c r="B18" s="168"/>
      <c r="C18" s="130"/>
      <c r="D18" s="149"/>
      <c r="E18" s="150"/>
      <c r="F18" s="170"/>
      <c r="G18" s="170"/>
      <c r="H18" s="142"/>
      <c r="I18" s="143"/>
      <c r="J18" s="144"/>
    </row>
    <row r="19" spans="1:10" s="24" customFormat="1" ht="35.25" customHeight="1">
      <c r="A19" s="21" t="s">
        <v>30</v>
      </c>
      <c r="B19" s="83" t="s">
        <v>31</v>
      </c>
      <c r="C19" s="84"/>
      <c r="D19" s="84"/>
      <c r="E19" s="84"/>
      <c r="F19" s="84"/>
      <c r="G19" s="84"/>
      <c r="H19" s="84"/>
      <c r="I19" s="84"/>
      <c r="J19" s="85"/>
    </row>
    <row r="20" spans="1:10" s="24" customFormat="1" ht="17.25" customHeight="1">
      <c r="A20" s="167" t="s">
        <v>32</v>
      </c>
      <c r="B20" s="173" t="s">
        <v>33</v>
      </c>
      <c r="C20" s="173"/>
      <c r="D20" s="173"/>
      <c r="E20" s="173"/>
      <c r="F20" s="173"/>
      <c r="G20" s="173"/>
      <c r="H20" s="173"/>
      <c r="I20" s="173"/>
      <c r="J20" s="173"/>
    </row>
    <row r="21" spans="1:10" s="24" customFormat="1" ht="31.5" customHeight="1">
      <c r="A21" s="167"/>
      <c r="B21" s="154" t="s">
        <v>34</v>
      </c>
      <c r="C21" s="155"/>
      <c r="D21" s="155"/>
      <c r="E21" s="155"/>
      <c r="F21" s="155"/>
      <c r="G21" s="155"/>
      <c r="H21" s="155"/>
      <c r="I21" s="155"/>
      <c r="J21" s="156"/>
    </row>
    <row r="22" spans="1:10" s="24" customFormat="1" ht="16.5" customHeight="1">
      <c r="A22" s="167"/>
      <c r="B22" s="157"/>
      <c r="C22" s="158"/>
      <c r="D22" s="158"/>
      <c r="E22" s="158"/>
      <c r="F22" s="158"/>
      <c r="G22" s="158"/>
      <c r="H22" s="158"/>
      <c r="I22" s="158"/>
      <c r="J22" s="159"/>
    </row>
    <row r="23" spans="1:10" s="24" customFormat="1" ht="33.75" customHeight="1">
      <c r="A23" s="167"/>
      <c r="B23" s="160"/>
      <c r="C23" s="161"/>
      <c r="D23" s="161"/>
      <c r="E23" s="161"/>
      <c r="F23" s="161"/>
      <c r="G23" s="161"/>
      <c r="H23" s="161"/>
      <c r="I23" s="161"/>
      <c r="J23" s="162"/>
    </row>
    <row r="24" spans="1:10" s="24" customFormat="1" ht="15" customHeight="1">
      <c r="A24" s="163" t="s">
        <v>35</v>
      </c>
      <c r="B24" s="164"/>
      <c r="C24" s="164"/>
      <c r="D24" s="164"/>
      <c r="E24" s="164"/>
      <c r="F24" s="164"/>
      <c r="G24" s="164"/>
      <c r="H24" s="164"/>
      <c r="I24" s="164"/>
      <c r="J24" s="165"/>
    </row>
    <row r="25" spans="1:10" s="24" customFormat="1" ht="58.5" customHeight="1">
      <c r="A25" s="44" t="s">
        <v>36</v>
      </c>
      <c r="B25" s="151" t="s">
        <v>37</v>
      </c>
      <c r="C25" s="152"/>
      <c r="D25" s="152"/>
      <c r="E25" s="152"/>
      <c r="F25" s="152"/>
      <c r="G25" s="152"/>
      <c r="H25" s="152"/>
      <c r="I25" s="152"/>
      <c r="J25" s="153"/>
    </row>
    <row r="26" spans="1:10" s="24" customFormat="1" ht="34.5" customHeight="1">
      <c r="A26" s="45" t="s">
        <v>38</v>
      </c>
      <c r="B26" s="151" t="s">
        <v>39</v>
      </c>
      <c r="C26" s="152"/>
      <c r="D26" s="152"/>
      <c r="E26" s="152"/>
      <c r="F26" s="152"/>
      <c r="G26" s="152"/>
      <c r="H26" s="152"/>
      <c r="I26" s="152"/>
      <c r="J26" s="153"/>
    </row>
    <row r="27" spans="1:10" s="24" customFormat="1" ht="52.5" customHeight="1">
      <c r="A27" s="45" t="s">
        <v>40</v>
      </c>
      <c r="B27" s="151" t="s">
        <v>41</v>
      </c>
      <c r="C27" s="152"/>
      <c r="D27" s="152"/>
      <c r="E27" s="152"/>
      <c r="F27" s="152"/>
      <c r="G27" s="152"/>
      <c r="H27" s="152"/>
      <c r="I27" s="152"/>
      <c r="J27" s="153"/>
    </row>
    <row r="28" spans="1:10" s="24" customFormat="1" ht="14.25" customHeight="1">
      <c r="A28" s="95" t="s">
        <v>42</v>
      </c>
      <c r="B28" s="134" t="s">
        <v>43</v>
      </c>
      <c r="C28" s="97" t="s">
        <v>44</v>
      </c>
      <c r="D28" s="98"/>
      <c r="E28" s="98"/>
      <c r="F28" s="95" t="s">
        <v>45</v>
      </c>
      <c r="G28" s="97" t="s">
        <v>46</v>
      </c>
      <c r="H28" s="98"/>
      <c r="I28" s="98"/>
      <c r="J28" s="99"/>
    </row>
    <row r="29" spans="1:10" s="24" customFormat="1" ht="34.5" customHeight="1">
      <c r="A29" s="96"/>
      <c r="B29" s="135"/>
      <c r="C29" s="100"/>
      <c r="D29" s="101"/>
      <c r="E29" s="101"/>
      <c r="F29" s="96"/>
      <c r="G29" s="100"/>
      <c r="H29" s="101"/>
      <c r="I29" s="101"/>
      <c r="J29" s="102"/>
    </row>
    <row r="30" spans="1:10" s="24" customFormat="1" ht="12.75" customHeight="1">
      <c r="A30" s="131" t="s">
        <v>47</v>
      </c>
      <c r="B30" s="131" t="s">
        <v>48</v>
      </c>
      <c r="C30" s="112" t="s">
        <v>49</v>
      </c>
      <c r="D30" s="113"/>
      <c r="E30" s="114"/>
      <c r="F30" s="121" t="s">
        <v>50</v>
      </c>
      <c r="G30" s="103" t="s">
        <v>51</v>
      </c>
      <c r="H30" s="104"/>
      <c r="I30" s="104"/>
      <c r="J30" s="105"/>
    </row>
    <row r="31" spans="1:10" s="24" customFormat="1">
      <c r="A31" s="132"/>
      <c r="B31" s="132"/>
      <c r="C31" s="115"/>
      <c r="D31" s="116"/>
      <c r="E31" s="117"/>
      <c r="F31" s="122"/>
      <c r="G31" s="106"/>
      <c r="H31" s="107"/>
      <c r="I31" s="107"/>
      <c r="J31" s="108"/>
    </row>
    <row r="32" spans="1:10" s="24" customFormat="1">
      <c r="A32" s="132"/>
      <c r="B32" s="132"/>
      <c r="C32" s="118"/>
      <c r="D32" s="119"/>
      <c r="E32" s="120"/>
      <c r="F32" s="123"/>
      <c r="G32" s="106"/>
      <c r="H32" s="107"/>
      <c r="I32" s="107"/>
      <c r="J32" s="108"/>
    </row>
    <row r="33" spans="1:10" s="24" customFormat="1" ht="12.75" customHeight="1">
      <c r="A33" s="132"/>
      <c r="B33" s="132"/>
      <c r="C33" s="86" t="s">
        <v>52</v>
      </c>
      <c r="D33" s="87"/>
      <c r="E33" s="88"/>
      <c r="F33" s="121" t="s">
        <v>50</v>
      </c>
      <c r="G33" s="106"/>
      <c r="H33" s="107"/>
      <c r="I33" s="107"/>
      <c r="J33" s="108"/>
    </row>
    <row r="34" spans="1:10" s="24" customFormat="1">
      <c r="A34" s="132"/>
      <c r="B34" s="132"/>
      <c r="C34" s="89"/>
      <c r="D34" s="90"/>
      <c r="E34" s="91"/>
      <c r="F34" s="122"/>
      <c r="G34" s="106"/>
      <c r="H34" s="107"/>
      <c r="I34" s="107"/>
      <c r="J34" s="108"/>
    </row>
    <row r="35" spans="1:10" s="24" customFormat="1">
      <c r="A35" s="132"/>
      <c r="B35" s="132"/>
      <c r="C35" s="92"/>
      <c r="D35" s="93"/>
      <c r="E35" s="94"/>
      <c r="F35" s="123"/>
      <c r="G35" s="106"/>
      <c r="H35" s="107"/>
      <c r="I35" s="107"/>
      <c r="J35" s="108"/>
    </row>
    <row r="36" spans="1:10" s="24" customFormat="1" ht="12.75" customHeight="1">
      <c r="A36" s="132"/>
      <c r="B36" s="132"/>
      <c r="C36" s="86" t="s">
        <v>53</v>
      </c>
      <c r="D36" s="87"/>
      <c r="E36" s="88"/>
      <c r="F36" s="121" t="s">
        <v>54</v>
      </c>
      <c r="G36" s="106"/>
      <c r="H36" s="107"/>
      <c r="I36" s="107"/>
      <c r="J36" s="108"/>
    </row>
    <row r="37" spans="1:10" s="24" customFormat="1">
      <c r="A37" s="132"/>
      <c r="B37" s="132"/>
      <c r="C37" s="89"/>
      <c r="D37" s="90"/>
      <c r="E37" s="91"/>
      <c r="F37" s="122"/>
      <c r="G37" s="106"/>
      <c r="H37" s="107"/>
      <c r="I37" s="107"/>
      <c r="J37" s="108"/>
    </row>
    <row r="38" spans="1:10" s="24" customFormat="1">
      <c r="A38" s="132"/>
      <c r="B38" s="132"/>
      <c r="C38" s="92"/>
      <c r="D38" s="93"/>
      <c r="E38" s="94"/>
      <c r="F38" s="123"/>
      <c r="G38" s="106"/>
      <c r="H38" s="107"/>
      <c r="I38" s="107"/>
      <c r="J38" s="108"/>
    </row>
    <row r="39" spans="1:10" s="24" customFormat="1" ht="12.75" customHeight="1">
      <c r="A39" s="132"/>
      <c r="B39" s="132"/>
      <c r="C39" s="86" t="s">
        <v>55</v>
      </c>
      <c r="D39" s="87"/>
      <c r="E39" s="88"/>
      <c r="F39" s="121" t="s">
        <v>50</v>
      </c>
      <c r="G39" s="106"/>
      <c r="H39" s="107"/>
      <c r="I39" s="107"/>
      <c r="J39" s="108"/>
    </row>
    <row r="40" spans="1:10" s="24" customFormat="1">
      <c r="A40" s="132"/>
      <c r="B40" s="132"/>
      <c r="C40" s="89"/>
      <c r="D40" s="90"/>
      <c r="E40" s="91"/>
      <c r="F40" s="122"/>
      <c r="G40" s="106"/>
      <c r="H40" s="107"/>
      <c r="I40" s="107"/>
      <c r="J40" s="108"/>
    </row>
    <row r="41" spans="1:10" s="24" customFormat="1">
      <c r="A41" s="132"/>
      <c r="B41" s="132"/>
      <c r="C41" s="92"/>
      <c r="D41" s="93"/>
      <c r="E41" s="94"/>
      <c r="F41" s="123"/>
      <c r="G41" s="106"/>
      <c r="H41" s="107"/>
      <c r="I41" s="107"/>
      <c r="J41" s="108"/>
    </row>
    <row r="42" spans="1:10" s="24" customFormat="1" ht="12.75" customHeight="1">
      <c r="A42" s="132"/>
      <c r="B42" s="132"/>
      <c r="C42" s="86">
        <v>5</v>
      </c>
      <c r="D42" s="87"/>
      <c r="E42" s="88"/>
      <c r="F42" s="121" t="s">
        <v>56</v>
      </c>
      <c r="G42" s="106"/>
      <c r="H42" s="107"/>
      <c r="I42" s="107"/>
      <c r="J42" s="108"/>
    </row>
    <row r="43" spans="1:10" s="24" customFormat="1">
      <c r="A43" s="132"/>
      <c r="B43" s="132"/>
      <c r="C43" s="89"/>
      <c r="D43" s="90"/>
      <c r="E43" s="91"/>
      <c r="F43" s="122"/>
      <c r="G43" s="106"/>
      <c r="H43" s="107"/>
      <c r="I43" s="107"/>
      <c r="J43" s="108"/>
    </row>
    <row r="44" spans="1:10" s="24" customFormat="1">
      <c r="A44" s="132"/>
      <c r="B44" s="132"/>
      <c r="C44" s="92"/>
      <c r="D44" s="93"/>
      <c r="E44" s="94"/>
      <c r="F44" s="123"/>
      <c r="G44" s="106"/>
      <c r="H44" s="107"/>
      <c r="I44" s="107"/>
      <c r="J44" s="108"/>
    </row>
    <row r="45" spans="1:10" s="24" customFormat="1" ht="12.75" customHeight="1">
      <c r="A45" s="132"/>
      <c r="B45" s="132"/>
      <c r="C45" s="86">
        <v>6</v>
      </c>
      <c r="D45" s="87"/>
      <c r="E45" s="88"/>
      <c r="F45" s="121" t="s">
        <v>56</v>
      </c>
      <c r="G45" s="106"/>
      <c r="H45" s="107"/>
      <c r="I45" s="107"/>
      <c r="J45" s="108"/>
    </row>
    <row r="46" spans="1:10" s="24" customFormat="1">
      <c r="A46" s="132"/>
      <c r="B46" s="132"/>
      <c r="C46" s="89"/>
      <c r="D46" s="90"/>
      <c r="E46" s="91"/>
      <c r="F46" s="122"/>
      <c r="G46" s="106"/>
      <c r="H46" s="107"/>
      <c r="I46" s="107"/>
      <c r="J46" s="108"/>
    </row>
    <row r="47" spans="1:10" s="24" customFormat="1">
      <c r="A47" s="132"/>
      <c r="B47" s="132"/>
      <c r="C47" s="92"/>
      <c r="D47" s="93"/>
      <c r="E47" s="94"/>
      <c r="F47" s="123"/>
      <c r="G47" s="106"/>
      <c r="H47" s="107"/>
      <c r="I47" s="107"/>
      <c r="J47" s="108"/>
    </row>
    <row r="48" spans="1:10" s="24" customFormat="1" ht="12.75" customHeight="1">
      <c r="A48" s="132"/>
      <c r="B48" s="132"/>
      <c r="C48" s="86" t="s">
        <v>57</v>
      </c>
      <c r="D48" s="87"/>
      <c r="E48" s="88"/>
      <c r="F48" s="121" t="s">
        <v>56</v>
      </c>
      <c r="G48" s="106"/>
      <c r="H48" s="107"/>
      <c r="I48" s="107"/>
      <c r="J48" s="108"/>
    </row>
    <row r="49" spans="1:19" s="24" customFormat="1">
      <c r="A49" s="132"/>
      <c r="B49" s="132"/>
      <c r="C49" s="89"/>
      <c r="D49" s="90"/>
      <c r="E49" s="91"/>
      <c r="F49" s="122"/>
      <c r="G49" s="106"/>
      <c r="H49" s="107"/>
      <c r="I49" s="107"/>
      <c r="J49" s="108"/>
    </row>
    <row r="50" spans="1:19" s="24" customFormat="1">
      <c r="A50" s="132"/>
      <c r="B50" s="132"/>
      <c r="C50" s="92"/>
      <c r="D50" s="93"/>
      <c r="E50" s="94"/>
      <c r="F50" s="123"/>
      <c r="G50" s="106"/>
      <c r="H50" s="107"/>
      <c r="I50" s="107"/>
      <c r="J50" s="108"/>
    </row>
    <row r="51" spans="1:19" s="24" customFormat="1" ht="12.75" customHeight="1">
      <c r="A51" s="132"/>
      <c r="B51" s="132"/>
      <c r="C51" s="86" t="s">
        <v>58</v>
      </c>
      <c r="D51" s="87"/>
      <c r="E51" s="88"/>
      <c r="F51" s="121" t="s">
        <v>56</v>
      </c>
      <c r="G51" s="106"/>
      <c r="H51" s="107"/>
      <c r="I51" s="107"/>
      <c r="J51" s="108"/>
    </row>
    <row r="52" spans="1:19" s="24" customFormat="1">
      <c r="A52" s="132"/>
      <c r="B52" s="132"/>
      <c r="C52" s="89"/>
      <c r="D52" s="90"/>
      <c r="E52" s="91"/>
      <c r="F52" s="122"/>
      <c r="G52" s="106"/>
      <c r="H52" s="107"/>
      <c r="I52" s="107"/>
      <c r="J52" s="108"/>
    </row>
    <row r="53" spans="1:19" s="24" customFormat="1">
      <c r="A53" s="133"/>
      <c r="B53" s="133"/>
      <c r="C53" s="92"/>
      <c r="D53" s="93"/>
      <c r="E53" s="94"/>
      <c r="F53" s="123"/>
      <c r="G53" s="109"/>
      <c r="H53" s="110"/>
      <c r="I53" s="110"/>
      <c r="J53" s="111"/>
    </row>
    <row r="54" spans="1:19" s="24" customFormat="1" ht="15" customHeight="1">
      <c r="A54" s="163" t="s">
        <v>59</v>
      </c>
      <c r="B54" s="164"/>
      <c r="C54" s="164"/>
      <c r="D54" s="164"/>
      <c r="E54" s="164"/>
      <c r="F54" s="164"/>
      <c r="G54" s="164"/>
      <c r="H54" s="164"/>
      <c r="I54" s="164"/>
      <c r="J54" s="165"/>
    </row>
    <row r="55" spans="1:19" s="24" customFormat="1" ht="108.75" customHeight="1">
      <c r="A55" s="46" t="s">
        <v>60</v>
      </c>
      <c r="B55" s="216" t="s">
        <v>61</v>
      </c>
      <c r="C55" s="217"/>
      <c r="D55" s="217"/>
      <c r="E55" s="217"/>
      <c r="F55" s="217"/>
      <c r="G55" s="217"/>
      <c r="H55" s="217"/>
      <c r="I55" s="217"/>
      <c r="J55" s="218"/>
    </row>
    <row r="56" spans="1:19" s="24" customFormat="1" ht="15" customHeight="1">
      <c r="A56" s="177" t="s">
        <v>62</v>
      </c>
      <c r="B56" s="177"/>
      <c r="C56" s="177"/>
      <c r="D56" s="177"/>
      <c r="E56" s="177"/>
      <c r="F56" s="177"/>
      <c r="G56" s="177"/>
      <c r="H56" s="177"/>
      <c r="I56" s="177"/>
      <c r="J56" s="177"/>
    </row>
    <row r="57" spans="1:19" s="24" customFormat="1" ht="12" customHeight="1">
      <c r="A57" s="225" t="s">
        <v>63</v>
      </c>
      <c r="B57" s="226"/>
      <c r="C57" s="226"/>
      <c r="D57" s="227"/>
      <c r="E57" s="219" t="s">
        <v>64</v>
      </c>
      <c r="F57" s="221"/>
      <c r="G57" s="219" t="s">
        <v>65</v>
      </c>
      <c r="H57" s="220"/>
      <c r="I57" s="220"/>
      <c r="J57" s="221"/>
    </row>
    <row r="58" spans="1:19" s="24" customFormat="1" ht="12" customHeight="1">
      <c r="A58" s="228"/>
      <c r="B58" s="229"/>
      <c r="C58" s="229"/>
      <c r="D58" s="230"/>
      <c r="E58" s="222"/>
      <c r="F58" s="224"/>
      <c r="G58" s="222"/>
      <c r="H58" s="223"/>
      <c r="I58" s="223"/>
      <c r="J58" s="224"/>
    </row>
    <row r="59" spans="1:19" s="33" customFormat="1" ht="20.25" customHeight="1">
      <c r="A59" s="212" t="str">
        <f>C30</f>
        <v>1.1. Aplico los conceptos necesarios para el correcto diseño, implementación, funcionamiento y diagnóstico del software en la producción de sistemas de entretenimiento digital utilizando los procedimientos y herramientas adecuadas.</v>
      </c>
      <c r="B59" s="213"/>
      <c r="C59" s="213"/>
      <c r="D59" s="214"/>
      <c r="E59" s="207">
        <v>0.7</v>
      </c>
      <c r="F59" s="208"/>
      <c r="G59" s="207" t="s">
        <v>66</v>
      </c>
      <c r="H59" s="209"/>
      <c r="I59" s="209"/>
      <c r="J59" s="208"/>
      <c r="K59" s="31"/>
      <c r="L59" s="31"/>
      <c r="M59" s="31"/>
      <c r="N59" s="31"/>
      <c r="O59" s="31"/>
      <c r="P59" s="32"/>
      <c r="Q59" s="32"/>
      <c r="R59" s="32"/>
      <c r="S59" s="32"/>
    </row>
    <row r="60" spans="1:19" s="33" customFormat="1" ht="20.25" customHeight="1">
      <c r="A60" s="212" t="str">
        <f>C33</f>
        <v>1.2. Diseño, aplico y gestiono pruebas para verificar el correcto funcionamiento de las partes y del todo de un software de manera ordenada y eficiente</v>
      </c>
      <c r="B60" s="213"/>
      <c r="C60" s="213"/>
      <c r="D60" s="214"/>
      <c r="E60" s="207">
        <v>0.3</v>
      </c>
      <c r="F60" s="208"/>
      <c r="G60" s="207" t="s">
        <v>66</v>
      </c>
      <c r="H60" s="209"/>
      <c r="I60" s="209"/>
      <c r="J60" s="208"/>
      <c r="K60" s="31"/>
      <c r="L60" s="31"/>
      <c r="M60" s="31"/>
      <c r="N60" s="31"/>
      <c r="O60" s="31"/>
      <c r="P60" s="32"/>
      <c r="Q60" s="32"/>
      <c r="R60" s="32"/>
      <c r="S60" s="32"/>
    </row>
    <row r="61" spans="1:19" s="33" customFormat="1" ht="20.25" customHeight="1">
      <c r="A61" s="212" t="str">
        <f>C36</f>
        <v>2.1. Aplico los conocimientos de matemáticas, diseño, ciencias e ingeniería en mi ejercicio profesional</v>
      </c>
      <c r="B61" s="213"/>
      <c r="C61" s="213"/>
      <c r="D61" s="214"/>
      <c r="E61" s="207">
        <v>0.5</v>
      </c>
      <c r="F61" s="208"/>
      <c r="G61" s="207" t="s">
        <v>67</v>
      </c>
      <c r="H61" s="209"/>
      <c r="I61" s="209"/>
      <c r="J61" s="208"/>
      <c r="K61" s="31"/>
      <c r="L61" s="31"/>
      <c r="M61" s="31"/>
      <c r="N61" s="31"/>
      <c r="O61" s="31"/>
      <c r="P61" s="32"/>
      <c r="Q61" s="32"/>
      <c r="R61" s="32"/>
      <c r="S61" s="32"/>
    </row>
    <row r="62" spans="1:19" s="33" customFormat="1" ht="20.25" customHeight="1">
      <c r="A62" s="212" t="str">
        <f>C39</f>
        <v>2.2.Integro contenidos digitales para la elaboración de sistemas interactivos mediante herramientas, métodos y lenguajes de programación de manera creativa, eficiente, efectiva y ordenada</v>
      </c>
      <c r="B62" s="213"/>
      <c r="C62" s="213"/>
      <c r="D62" s="214"/>
      <c r="E62" s="207">
        <v>0.5</v>
      </c>
      <c r="F62" s="208"/>
      <c r="G62" s="207" t="s">
        <v>68</v>
      </c>
      <c r="H62" s="209"/>
      <c r="I62" s="209"/>
      <c r="J62" s="208"/>
      <c r="K62" s="31"/>
      <c r="L62" s="31"/>
      <c r="M62" s="31"/>
      <c r="N62" s="31"/>
      <c r="O62" s="31"/>
      <c r="P62" s="32"/>
      <c r="Q62" s="32"/>
      <c r="R62" s="32"/>
      <c r="S62" s="32"/>
    </row>
    <row r="63" spans="1:19" s="33" customFormat="1" ht="20.25" customHeight="1">
      <c r="A63" s="212">
        <f>C42</f>
        <v>5</v>
      </c>
      <c r="B63" s="213"/>
      <c r="C63" s="213"/>
      <c r="D63" s="214"/>
      <c r="E63" s="207"/>
      <c r="F63" s="208"/>
      <c r="G63" s="207"/>
      <c r="H63" s="209"/>
      <c r="I63" s="209"/>
      <c r="J63" s="208"/>
      <c r="K63" s="31"/>
      <c r="L63" s="31"/>
      <c r="M63" s="31"/>
      <c r="N63" s="31"/>
      <c r="O63" s="31"/>
      <c r="P63" s="32"/>
      <c r="Q63" s="32"/>
      <c r="R63" s="32"/>
      <c r="S63" s="32"/>
    </row>
    <row r="64" spans="1:19" s="33" customFormat="1" ht="20.25" customHeight="1">
      <c r="A64" s="212">
        <f>C45</f>
        <v>6</v>
      </c>
      <c r="B64" s="213"/>
      <c r="C64" s="213"/>
      <c r="D64" s="214"/>
      <c r="E64" s="207"/>
      <c r="F64" s="208"/>
      <c r="G64" s="207"/>
      <c r="H64" s="209"/>
      <c r="I64" s="209"/>
      <c r="J64" s="208"/>
      <c r="K64" s="31"/>
      <c r="L64" s="31"/>
      <c r="M64" s="31"/>
      <c r="N64" s="31"/>
      <c r="O64" s="31"/>
      <c r="P64" s="32"/>
      <c r="Q64" s="32"/>
      <c r="R64" s="32"/>
      <c r="S64" s="32"/>
    </row>
    <row r="65" spans="1:19" s="33" customFormat="1" ht="20.25" customHeight="1">
      <c r="A65" s="212" t="str">
        <f>C48</f>
        <v xml:space="preserve">7. </v>
      </c>
      <c r="B65" s="213"/>
      <c r="C65" s="213"/>
      <c r="D65" s="214"/>
      <c r="E65" s="207"/>
      <c r="F65" s="208"/>
      <c r="G65" s="207"/>
      <c r="H65" s="209"/>
      <c r="I65" s="209"/>
      <c r="J65" s="208"/>
      <c r="K65" s="31"/>
      <c r="L65" s="31"/>
      <c r="M65" s="31"/>
      <c r="N65" s="31"/>
      <c r="O65" s="31"/>
      <c r="P65" s="32"/>
      <c r="Q65" s="32"/>
      <c r="R65" s="32"/>
      <c r="S65" s="32"/>
    </row>
    <row r="66" spans="1:19" s="33" customFormat="1" ht="20.25" customHeight="1">
      <c r="A66" s="212" t="str">
        <f>C51</f>
        <v xml:space="preserve">8. </v>
      </c>
      <c r="B66" s="213"/>
      <c r="C66" s="213"/>
      <c r="D66" s="214"/>
      <c r="E66" s="207"/>
      <c r="F66" s="208"/>
      <c r="G66" s="207"/>
      <c r="H66" s="209"/>
      <c r="I66" s="209"/>
      <c r="J66" s="208"/>
      <c r="K66" s="31"/>
      <c r="L66" s="31"/>
      <c r="M66" s="31"/>
      <c r="N66" s="31"/>
      <c r="O66" s="31"/>
      <c r="P66" s="32"/>
      <c r="Q66" s="32"/>
      <c r="R66" s="32"/>
      <c r="S66" s="32"/>
    </row>
    <row r="67" spans="1:19" s="24" customFormat="1" ht="15.75" customHeight="1">
      <c r="A67" s="215" t="s">
        <v>69</v>
      </c>
      <c r="B67" s="215"/>
      <c r="C67" s="215"/>
      <c r="D67" s="215"/>
      <c r="E67" s="215"/>
      <c r="F67" s="215"/>
      <c r="G67" s="215"/>
      <c r="H67" s="215"/>
      <c r="I67" s="215"/>
      <c r="J67" s="215"/>
    </row>
    <row r="68" spans="1:19" s="24" customFormat="1" ht="45" customHeight="1">
      <c r="A68" s="47" t="s">
        <v>70</v>
      </c>
      <c r="B68" s="211" t="s">
        <v>71</v>
      </c>
      <c r="C68" s="211"/>
      <c r="D68" s="211"/>
      <c r="E68" s="211"/>
      <c r="F68" s="211"/>
      <c r="G68" s="211"/>
      <c r="H68" s="211"/>
      <c r="I68" s="211"/>
      <c r="J68" s="211"/>
    </row>
    <row r="69" spans="1:19" s="24" customFormat="1" ht="33" customHeight="1">
      <c r="A69" s="48" t="s">
        <v>72</v>
      </c>
      <c r="B69" s="211"/>
      <c r="C69" s="211"/>
      <c r="D69" s="211"/>
      <c r="E69" s="211"/>
      <c r="F69" s="211"/>
      <c r="G69" s="211"/>
      <c r="H69" s="211"/>
      <c r="I69" s="211"/>
      <c r="J69" s="211"/>
    </row>
    <row r="70" spans="1:19" s="24" customFormat="1" ht="33.75" customHeight="1">
      <c r="A70" s="48" t="s">
        <v>73</v>
      </c>
      <c r="B70" s="211"/>
      <c r="C70" s="211"/>
      <c r="D70" s="211"/>
      <c r="E70" s="211"/>
      <c r="F70" s="211"/>
      <c r="G70" s="211"/>
      <c r="H70" s="211"/>
      <c r="I70" s="211"/>
      <c r="J70" s="211"/>
    </row>
    <row r="71" spans="1:19" s="24" customFormat="1" ht="30" customHeight="1">
      <c r="A71" s="48" t="s">
        <v>74</v>
      </c>
      <c r="B71" s="151"/>
      <c r="C71" s="152"/>
      <c r="D71" s="152"/>
      <c r="E71" s="152"/>
      <c r="F71" s="152"/>
      <c r="G71" s="152"/>
      <c r="H71" s="152"/>
      <c r="I71" s="152"/>
      <c r="J71" s="153"/>
    </row>
    <row r="72" spans="1:19" s="24" customFormat="1" ht="23.25" customHeight="1">
      <c r="A72" s="47" t="s">
        <v>75</v>
      </c>
      <c r="B72" s="211"/>
      <c r="C72" s="211"/>
      <c r="D72" s="211"/>
      <c r="E72" s="211"/>
      <c r="F72" s="211"/>
      <c r="G72" s="211"/>
      <c r="H72" s="211"/>
      <c r="I72" s="211"/>
      <c r="J72" s="211"/>
    </row>
    <row r="73" spans="1:19" ht="14.25" customHeight="1">
      <c r="A73" s="163" t="s">
        <v>76</v>
      </c>
      <c r="B73" s="164"/>
      <c r="C73" s="164"/>
      <c r="D73" s="164"/>
      <c r="E73" s="164"/>
      <c r="F73" s="164"/>
      <c r="G73" s="164"/>
      <c r="H73" s="164"/>
      <c r="I73" s="164"/>
      <c r="J73" s="165"/>
    </row>
    <row r="74" spans="1:19" ht="41.25" customHeight="1">
      <c r="A74" s="9" t="s">
        <v>77</v>
      </c>
      <c r="B74" s="210"/>
      <c r="C74" s="210"/>
      <c r="D74" s="210"/>
      <c r="E74" s="210"/>
      <c r="F74" s="210"/>
      <c r="G74" s="210"/>
      <c r="H74" s="210"/>
      <c r="I74" s="210"/>
      <c r="J74" s="210"/>
    </row>
    <row r="75" spans="1:19" ht="52.5" customHeight="1">
      <c r="A75" s="9" t="s">
        <v>78</v>
      </c>
      <c r="B75" s="210"/>
      <c r="C75" s="210"/>
      <c r="D75" s="210"/>
      <c r="E75" s="210"/>
      <c r="F75" s="210"/>
      <c r="G75" s="210"/>
      <c r="H75" s="210"/>
      <c r="I75" s="210"/>
      <c r="J75" s="210"/>
    </row>
  </sheetData>
  <sheetProtection algorithmName="SHA-512" hashValue="JKNPuAwvX1bTRA5paiaBrJ4Zpi+XDuGC5EVuXhi+2jJjWFTJgqhm/vr09a81tfzhfdEuqD/Ps3tN8k3s9Jc2WQ==" saltValue="Ui2CMu1t+QlW7PB4ig/qcA==" spinCount="100000" sheet="1" formatColumns="0" insertColumns="0" insertRows="0" selectLockedCells="1"/>
  <protectedRanges>
    <protectedRange sqref="A3:B3 D3:J3" name="Rango11"/>
    <protectedRange sqref="B4:J4 E8:J10 C8:C10 B6:J7" name="Rango1"/>
    <protectedRange sqref="E15:F15 H23:J23 B24:J27 K14:K15 C12 C15 F12 I12 B20:D23 C17:C18 D14 B13:J13 I14 H14:H15 G14 B14:B15" name="Rango2"/>
    <protectedRange sqref="C28 D31 C30:C44 D49 D47 C29:H29 J31:J32 J29 J34:J35 J37:J38 J40:J41 J43:J44 J46:J47 J49:J50 F28:H28 B28:B53 G30:H30 G31:I53 J52:J53 C46:C53 B54:J55 E30:F53" name="Rango4"/>
    <protectedRange sqref="E15:F15 H23:J23 B24:J27 K14:K15 C12 C15 F12 I12 B20:D23 C17:C18 D14 B13:J13 I14 H14:H15 G14 B14:B15" name="Rango5"/>
    <protectedRange sqref="E57:F58" name="Rango6"/>
    <protectedRange sqref="B68:C71" name="Rango9"/>
    <protectedRange sqref="B72:J75" name="Rango10"/>
    <protectedRange sqref="B19:F19" name="Rango1_2"/>
    <protectedRange sqref="E11:J11 C11" name="Rango1_1"/>
  </protectedRanges>
  <dataConsolidate/>
  <mergeCells count="101">
    <mergeCell ref="E59:F59"/>
    <mergeCell ref="F36:F38"/>
    <mergeCell ref="E60:F60"/>
    <mergeCell ref="E61:F61"/>
    <mergeCell ref="E62:F62"/>
    <mergeCell ref="E63:F63"/>
    <mergeCell ref="E64:F64"/>
    <mergeCell ref="E65:F65"/>
    <mergeCell ref="B55:J55"/>
    <mergeCell ref="A56:J56"/>
    <mergeCell ref="G57:J58"/>
    <mergeCell ref="A59:D59"/>
    <mergeCell ref="A60:D60"/>
    <mergeCell ref="E57:F58"/>
    <mergeCell ref="B30:B53"/>
    <mergeCell ref="A54:J54"/>
    <mergeCell ref="G59:J59"/>
    <mergeCell ref="A57:D58"/>
    <mergeCell ref="E66:F66"/>
    <mergeCell ref="G60:J60"/>
    <mergeCell ref="G61:J61"/>
    <mergeCell ref="G62:J62"/>
    <mergeCell ref="G63:J63"/>
    <mergeCell ref="G64:J64"/>
    <mergeCell ref="G65:J65"/>
    <mergeCell ref="G66:J66"/>
    <mergeCell ref="B75:J75"/>
    <mergeCell ref="B68:J68"/>
    <mergeCell ref="B69:J69"/>
    <mergeCell ref="B70:J70"/>
    <mergeCell ref="B74:J74"/>
    <mergeCell ref="A73:J73"/>
    <mergeCell ref="A65:D65"/>
    <mergeCell ref="B72:J72"/>
    <mergeCell ref="B71:J71"/>
    <mergeCell ref="A61:D61"/>
    <mergeCell ref="A62:D62"/>
    <mergeCell ref="A63:D63"/>
    <mergeCell ref="A67:J67"/>
    <mergeCell ref="A64:D64"/>
    <mergeCell ref="A66:D66"/>
    <mergeCell ref="B1:J1"/>
    <mergeCell ref="A3:J3"/>
    <mergeCell ref="B8:J8"/>
    <mergeCell ref="B9:J9"/>
    <mergeCell ref="B5:J5"/>
    <mergeCell ref="B4:J4"/>
    <mergeCell ref="B14:C14"/>
    <mergeCell ref="D14:F14"/>
    <mergeCell ref="G14:H14"/>
    <mergeCell ref="I14:J14"/>
    <mergeCell ref="A2:J2"/>
    <mergeCell ref="B6:J6"/>
    <mergeCell ref="B7:J7"/>
    <mergeCell ref="B10:J10"/>
    <mergeCell ref="B11:J11"/>
    <mergeCell ref="C12:J12"/>
    <mergeCell ref="C13:J13"/>
    <mergeCell ref="A12:A13"/>
    <mergeCell ref="B15:C15"/>
    <mergeCell ref="D15:F15"/>
    <mergeCell ref="G15:H15"/>
    <mergeCell ref="I15:J15"/>
    <mergeCell ref="C17:C18"/>
    <mergeCell ref="A30:A53"/>
    <mergeCell ref="F42:F44"/>
    <mergeCell ref="B28:B29"/>
    <mergeCell ref="H16:J18"/>
    <mergeCell ref="D16:E16"/>
    <mergeCell ref="D17:E18"/>
    <mergeCell ref="B27:J27"/>
    <mergeCell ref="B21:J23"/>
    <mergeCell ref="A24:J24"/>
    <mergeCell ref="F30:F32"/>
    <mergeCell ref="A16:A18"/>
    <mergeCell ref="B25:J25"/>
    <mergeCell ref="A20:A23"/>
    <mergeCell ref="B26:J26"/>
    <mergeCell ref="A28:A29"/>
    <mergeCell ref="B16:B18"/>
    <mergeCell ref="F16:G18"/>
    <mergeCell ref="A14:A15"/>
    <mergeCell ref="B20:J20"/>
    <mergeCell ref="B19:J19"/>
    <mergeCell ref="C51:E53"/>
    <mergeCell ref="F28:F29"/>
    <mergeCell ref="G28:J29"/>
    <mergeCell ref="G30:J53"/>
    <mergeCell ref="C28:E29"/>
    <mergeCell ref="C30:E32"/>
    <mergeCell ref="C33:E35"/>
    <mergeCell ref="C36:E38"/>
    <mergeCell ref="C39:E41"/>
    <mergeCell ref="C42:E44"/>
    <mergeCell ref="C45:E47"/>
    <mergeCell ref="C48:E50"/>
    <mergeCell ref="F33:F35"/>
    <mergeCell ref="F39:F41"/>
    <mergeCell ref="F48:F50"/>
    <mergeCell ref="F51:F53"/>
    <mergeCell ref="F45:F47"/>
  </mergeCells>
  <phoneticPr fontId="3" type="noConversion"/>
  <printOptions horizontalCentered="1"/>
  <pageMargins left="0" right="0" top="0" bottom="0" header="0" footer="0"/>
  <pageSetup fitToWidth="0" fitToHeight="0" orientation="landscape" r:id="rId1"/>
  <headerFooter alignWithMargins="0"/>
  <drawing r:id="rId2"/>
  <legacyDrawing r:id="rId3"/>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Listas!$A$3:$A$16</xm:f>
          </x14:formula1>
          <xm:sqref>B8:J8</xm:sqref>
        </x14:dataValidation>
        <x14:dataValidation type="list" allowBlank="1" showInputMessage="1" showErrorMessage="1" xr:uid="{00000000-0002-0000-0000-000001000000}">
          <x14:formula1>
            <xm:f>Listas!$B$2:$B$360</xm:f>
          </x14:formula1>
          <xm:sqref>B9:J9</xm:sqref>
        </x14:dataValidation>
        <x14:dataValidation type="list" allowBlank="1" showInputMessage="1" showErrorMessage="1" xr:uid="{00000000-0002-0000-0000-000002000000}">
          <x14:formula1>
            <xm:f>Listas!$F$2:$F$233</xm:f>
          </x14:formula1>
          <xm:sqref>B7:J7</xm:sqref>
        </x14:dataValidation>
        <x14:dataValidation type="list" allowBlank="1" showInputMessage="1" showErrorMessage="1" xr:uid="{00000000-0002-0000-0000-000003000000}">
          <x14:formula1>
            <xm:f>Listas!$D$2:$D$57</xm:f>
          </x14:formula1>
          <xm:sqref>B6:J6</xm:sqref>
        </x14:dataValidation>
        <x14:dataValidation type="list" allowBlank="1" showInputMessage="1" showErrorMessage="1" xr:uid="{00000000-0002-0000-0000-000004000000}">
          <x14:formula1>
            <xm:f>Listas!$C$2:$C$6</xm:f>
          </x14:formula1>
          <xm:sqref>B19:J19</xm:sqref>
        </x14:dataValidation>
        <x14:dataValidation type="list" allowBlank="1" showInputMessage="1" showErrorMessage="1" xr:uid="{00000000-0002-0000-0000-000005000000}">
          <x14:formula1>
            <xm:f>Listas!$H$2:$H$9</xm:f>
          </x14:formula1>
          <xm:sqref>B10:J10</xm:sqref>
        </x14:dataValidation>
        <x14:dataValidation type="list" operator="equal" allowBlank="1" showInputMessage="1" showErrorMessage="1" errorTitle="Marque con una X" error="Debe marcar con una X" xr:uid="{00000000-0002-0000-0000-000006000000}">
          <x14:formula1>
            <xm:f>Listas!$I$2:$I$6</xm:f>
          </x14:formula1>
          <xm:sqref>F30:F53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0" tint="-0.34998626667073579"/>
  </sheetPr>
  <dimension ref="A1:A11"/>
  <sheetViews>
    <sheetView showGridLines="0" showRowColHeaders="0" topLeftCell="A10" zoomScaleNormal="100" workbookViewId="0">
      <selection activeCell="A10" sqref="A10"/>
    </sheetView>
  </sheetViews>
  <sheetFormatPr defaultColWidth="11.42578125" defaultRowHeight="15"/>
  <cols>
    <col min="1" max="1" width="147.140625" style="1" bestFit="1" customWidth="1"/>
    <col min="2" max="16384" width="11.42578125" style="1"/>
  </cols>
  <sheetData>
    <row r="1" spans="1:1" ht="15.6">
      <c r="A1" s="12" t="s">
        <v>79</v>
      </c>
    </row>
    <row r="2" spans="1:1" ht="15.6">
      <c r="A2" s="2" t="s">
        <v>80</v>
      </c>
    </row>
    <row r="3" spans="1:1" ht="45.6">
      <c r="A3" s="2" t="s">
        <v>81</v>
      </c>
    </row>
    <row r="4" spans="1:1" ht="15.6">
      <c r="A4" s="3" t="s">
        <v>82</v>
      </c>
    </row>
    <row r="5" spans="1:1" ht="15.6">
      <c r="A5" s="3" t="s">
        <v>83</v>
      </c>
    </row>
    <row r="6" spans="1:1" ht="30.6">
      <c r="A6" s="2" t="s">
        <v>84</v>
      </c>
    </row>
    <row r="7" spans="1:1" ht="30.6">
      <c r="A7" s="2" t="s">
        <v>85</v>
      </c>
    </row>
    <row r="8" spans="1:1" ht="15.6">
      <c r="A8" s="3" t="s">
        <v>86</v>
      </c>
    </row>
    <row r="9" spans="1:1" ht="120.6">
      <c r="A9" s="4" t="s">
        <v>87</v>
      </c>
    </row>
    <row r="10" spans="1:1" ht="256.89999999999998">
      <c r="A10" s="5" t="s">
        <v>88</v>
      </c>
    </row>
    <row r="11" spans="1:1" ht="15.6">
      <c r="A11" s="6"/>
    </row>
  </sheetData>
  <sheetProtection algorithmName="SHA-512" hashValue="G+sWC4gfhPdynSLw27WUOsvDsGWJWY/Yjw/iqqppPgR9xwUpmw4bbQOkyR4XEovIVDIQ/TAf+TYeJ7FD9ciRiA==" saltValue="LD/cEEQpZZzKybEs/vo7qw=="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I1883"/>
  <sheetViews>
    <sheetView showGridLines="0" zoomScale="90" zoomScaleNormal="90" workbookViewId="0">
      <selection activeCell="A6" sqref="A6"/>
    </sheetView>
  </sheetViews>
  <sheetFormatPr defaultColWidth="11.42578125" defaultRowHeight="13.15"/>
  <cols>
    <col min="1" max="1" width="36" style="19" bestFit="1" customWidth="1"/>
    <col min="2" max="2" width="48.5703125" style="19" bestFit="1" customWidth="1"/>
    <col min="3" max="3" width="34" style="19" bestFit="1" customWidth="1"/>
    <col min="4" max="4" width="62.42578125" style="55" bestFit="1" customWidth="1"/>
    <col min="5" max="5" width="35.7109375" style="19" bestFit="1" customWidth="1"/>
    <col min="6" max="6" width="57.85546875" style="19" bestFit="1" customWidth="1"/>
    <col min="7" max="7" width="13.140625" style="19" bestFit="1" customWidth="1"/>
    <col min="8" max="8" width="19.85546875" style="19" bestFit="1" customWidth="1"/>
    <col min="9" max="9" width="35.85546875" style="19" bestFit="1" customWidth="1"/>
    <col min="10" max="16384" width="11.42578125" style="19"/>
  </cols>
  <sheetData>
    <row r="1" spans="1:9" s="14" customFormat="1" ht="18" customHeight="1">
      <c r="A1" s="36" t="s">
        <v>89</v>
      </c>
      <c r="B1" s="36" t="s">
        <v>90</v>
      </c>
      <c r="C1" s="37" t="s">
        <v>91</v>
      </c>
      <c r="D1" s="63" t="s">
        <v>92</v>
      </c>
      <c r="E1" s="38" t="s">
        <v>93</v>
      </c>
      <c r="F1" s="39" t="s">
        <v>94</v>
      </c>
      <c r="G1" s="39" t="s">
        <v>95</v>
      </c>
      <c r="H1" s="73" t="s">
        <v>96</v>
      </c>
      <c r="I1" s="72" t="s">
        <v>97</v>
      </c>
    </row>
    <row r="2" spans="1:9" s="14" customFormat="1" ht="14.25" customHeight="1">
      <c r="A2" s="51" t="s">
        <v>56</v>
      </c>
      <c r="B2" s="49" t="s">
        <v>98</v>
      </c>
      <c r="C2" s="40" t="s">
        <v>56</v>
      </c>
      <c r="D2" s="41" t="s">
        <v>56</v>
      </c>
      <c r="E2" s="40" t="s">
        <v>99</v>
      </c>
      <c r="F2" s="60" t="s">
        <v>56</v>
      </c>
      <c r="G2" s="68" t="s">
        <v>100</v>
      </c>
      <c r="H2" s="60" t="s">
        <v>56</v>
      </c>
      <c r="I2" s="70" t="s">
        <v>56</v>
      </c>
    </row>
    <row r="3" spans="1:9" s="14" customFormat="1" ht="14.25" customHeight="1">
      <c r="A3" s="52" t="s">
        <v>101</v>
      </c>
      <c r="B3" s="49" t="s">
        <v>102</v>
      </c>
      <c r="C3" s="76" t="s">
        <v>31</v>
      </c>
      <c r="D3" s="64" t="s">
        <v>103</v>
      </c>
      <c r="E3" s="20" t="s">
        <v>104</v>
      </c>
      <c r="F3" s="19" t="s">
        <v>105</v>
      </c>
      <c r="G3" s="69" t="s">
        <v>106</v>
      </c>
      <c r="H3" s="66" t="s">
        <v>107</v>
      </c>
      <c r="I3" s="74" t="s">
        <v>108</v>
      </c>
    </row>
    <row r="4" spans="1:9" s="14" customFormat="1" ht="14.25" customHeight="1">
      <c r="A4" s="50" t="s">
        <v>109</v>
      </c>
      <c r="B4" s="49" t="s">
        <v>110</v>
      </c>
      <c r="C4" s="20" t="s">
        <v>111</v>
      </c>
      <c r="D4" s="64" t="s">
        <v>112</v>
      </c>
      <c r="E4" s="20" t="s">
        <v>113</v>
      </c>
      <c r="F4" s="19" t="s">
        <v>114</v>
      </c>
      <c r="G4" s="69" t="s">
        <v>115</v>
      </c>
      <c r="H4" s="67" t="s">
        <v>15</v>
      </c>
      <c r="I4" s="74" t="s">
        <v>54</v>
      </c>
    </row>
    <row r="5" spans="1:9" s="14" customFormat="1" ht="14.25" customHeight="1">
      <c r="A5" s="50" t="s">
        <v>116</v>
      </c>
      <c r="B5" s="49" t="s">
        <v>117</v>
      </c>
      <c r="C5" s="76" t="s">
        <v>118</v>
      </c>
      <c r="D5" s="64" t="s">
        <v>119</v>
      </c>
      <c r="E5" s="20" t="s">
        <v>120</v>
      </c>
      <c r="F5" s="42" t="s">
        <v>121</v>
      </c>
      <c r="G5" s="69" t="s">
        <v>122</v>
      </c>
      <c r="H5" s="67" t="s">
        <v>123</v>
      </c>
      <c r="I5" s="74" t="s">
        <v>50</v>
      </c>
    </row>
    <row r="6" spans="1:9" s="14" customFormat="1" ht="14.25" customHeight="1">
      <c r="A6" s="52" t="s">
        <v>124</v>
      </c>
      <c r="B6" s="49" t="s">
        <v>125</v>
      </c>
      <c r="C6" s="77" t="s">
        <v>126</v>
      </c>
      <c r="D6" s="64" t="s">
        <v>127</v>
      </c>
      <c r="E6" s="20" t="s">
        <v>128</v>
      </c>
      <c r="F6" s="42" t="s">
        <v>129</v>
      </c>
      <c r="G6" s="69" t="s">
        <v>130</v>
      </c>
      <c r="H6" s="67" t="s">
        <v>131</v>
      </c>
      <c r="I6" s="78" t="s">
        <v>132</v>
      </c>
    </row>
    <row r="7" spans="1:9" s="14" customFormat="1" ht="14.25" customHeight="1">
      <c r="A7" s="50" t="s">
        <v>11</v>
      </c>
      <c r="B7" s="49" t="s">
        <v>133</v>
      </c>
      <c r="C7" s="19"/>
      <c r="D7" s="64" t="s">
        <v>134</v>
      </c>
      <c r="E7" s="20" t="s">
        <v>135</v>
      </c>
      <c r="F7" s="42" t="s">
        <v>136</v>
      </c>
      <c r="G7" s="69" t="s">
        <v>137</v>
      </c>
      <c r="H7" s="71" t="s">
        <v>138</v>
      </c>
    </row>
    <row r="8" spans="1:9" s="14" customFormat="1" ht="14.25" customHeight="1">
      <c r="A8" s="50" t="s">
        <v>139</v>
      </c>
      <c r="B8" s="49" t="s">
        <v>140</v>
      </c>
      <c r="C8" s="19"/>
      <c r="D8" s="64" t="s">
        <v>141</v>
      </c>
      <c r="E8" s="19" t="s">
        <v>142</v>
      </c>
      <c r="F8" s="42" t="s">
        <v>143</v>
      </c>
      <c r="G8" s="69" t="s">
        <v>144</v>
      </c>
      <c r="H8" s="64" t="s">
        <v>145</v>
      </c>
    </row>
    <row r="9" spans="1:9" s="14" customFormat="1" ht="14.25" customHeight="1">
      <c r="A9" s="50" t="s">
        <v>146</v>
      </c>
      <c r="B9" s="49" t="s">
        <v>147</v>
      </c>
      <c r="C9" s="19"/>
      <c r="D9" s="64" t="s">
        <v>148</v>
      </c>
      <c r="E9" s="19" t="s">
        <v>149</v>
      </c>
      <c r="F9" s="42" t="s">
        <v>150</v>
      </c>
      <c r="G9" s="69" t="s">
        <v>151</v>
      </c>
      <c r="H9" s="65" t="s">
        <v>152</v>
      </c>
    </row>
    <row r="10" spans="1:9" s="14" customFormat="1" ht="14.25" customHeight="1">
      <c r="A10" s="50" t="s">
        <v>153</v>
      </c>
      <c r="B10" s="49" t="s">
        <v>154</v>
      </c>
      <c r="C10" s="19"/>
      <c r="D10" s="64" t="s">
        <v>155</v>
      </c>
      <c r="E10" s="19" t="s">
        <v>156</v>
      </c>
      <c r="F10" s="42" t="s">
        <v>157</v>
      </c>
      <c r="G10" s="61" t="s">
        <v>158</v>
      </c>
    </row>
    <row r="11" spans="1:9" s="14" customFormat="1" ht="14.25" customHeight="1">
      <c r="A11" s="50" t="s">
        <v>159</v>
      </c>
      <c r="B11" s="49" t="s">
        <v>160</v>
      </c>
      <c r="C11" s="19"/>
      <c r="D11" s="64" t="s">
        <v>161</v>
      </c>
      <c r="E11" s="19" t="s">
        <v>162</v>
      </c>
      <c r="F11" s="42" t="s">
        <v>163</v>
      </c>
      <c r="G11" s="61" t="s">
        <v>164</v>
      </c>
    </row>
    <row r="12" spans="1:9" s="14" customFormat="1" ht="14.25" customHeight="1">
      <c r="A12" s="50" t="s">
        <v>165</v>
      </c>
      <c r="B12" s="49" t="s">
        <v>166</v>
      </c>
      <c r="C12" s="19"/>
      <c r="D12" s="64" t="s">
        <v>167</v>
      </c>
      <c r="E12" s="59" t="s">
        <v>168</v>
      </c>
      <c r="F12" s="42" t="s">
        <v>169</v>
      </c>
      <c r="G12" s="61" t="s">
        <v>170</v>
      </c>
    </row>
    <row r="13" spans="1:9" s="14" customFormat="1" ht="14.25" customHeight="1">
      <c r="A13" s="50" t="s">
        <v>171</v>
      </c>
      <c r="B13" s="49" t="s">
        <v>172</v>
      </c>
      <c r="C13" s="19"/>
      <c r="D13" s="64" t="s">
        <v>173</v>
      </c>
      <c r="E13" s="19"/>
      <c r="F13" s="42" t="s">
        <v>174</v>
      </c>
      <c r="G13" s="61" t="s">
        <v>175</v>
      </c>
    </row>
    <row r="14" spans="1:9" s="14" customFormat="1" ht="14.25" customHeight="1">
      <c r="A14" s="50" t="s">
        <v>176</v>
      </c>
      <c r="B14" s="49" t="s">
        <v>177</v>
      </c>
      <c r="D14" s="64" t="s">
        <v>178</v>
      </c>
      <c r="E14" s="19"/>
      <c r="F14" s="42" t="s">
        <v>179</v>
      </c>
      <c r="G14" s="61" t="s">
        <v>180</v>
      </c>
    </row>
    <row r="15" spans="1:9" s="14" customFormat="1" ht="15.6">
      <c r="A15" s="50" t="s">
        <v>181</v>
      </c>
      <c r="B15" s="49" t="s">
        <v>182</v>
      </c>
      <c r="D15" s="64" t="s">
        <v>183</v>
      </c>
      <c r="E15" s="19"/>
      <c r="F15" s="42" t="s">
        <v>184</v>
      </c>
      <c r="G15" s="61" t="s">
        <v>185</v>
      </c>
    </row>
    <row r="16" spans="1:9" s="14" customFormat="1" ht="15.6">
      <c r="A16" s="50" t="s">
        <v>186</v>
      </c>
      <c r="B16" s="49" t="s">
        <v>187</v>
      </c>
      <c r="D16" s="64" t="s">
        <v>188</v>
      </c>
      <c r="E16" s="19"/>
      <c r="F16" s="42" t="s">
        <v>189</v>
      </c>
      <c r="G16" s="61" t="s">
        <v>190</v>
      </c>
    </row>
    <row r="17" spans="1:7" s="14" customFormat="1" ht="15.6">
      <c r="A17" s="50"/>
      <c r="B17" s="49" t="s">
        <v>191</v>
      </c>
      <c r="D17" s="64" t="s">
        <v>192</v>
      </c>
      <c r="E17" s="19"/>
      <c r="F17" s="42" t="s">
        <v>193</v>
      </c>
      <c r="G17" s="61" t="s">
        <v>194</v>
      </c>
    </row>
    <row r="18" spans="1:7" s="14" customFormat="1" ht="15.6">
      <c r="A18" s="50"/>
      <c r="B18" s="49" t="s">
        <v>195</v>
      </c>
      <c r="D18" s="64" t="s">
        <v>196</v>
      </c>
      <c r="E18" s="19"/>
      <c r="F18" s="42" t="s">
        <v>197</v>
      </c>
      <c r="G18" s="61" t="s">
        <v>198</v>
      </c>
    </row>
    <row r="19" spans="1:7" s="14" customFormat="1" ht="15.6">
      <c r="A19" s="50"/>
      <c r="B19" s="49" t="s">
        <v>199</v>
      </c>
      <c r="D19" s="64" t="s">
        <v>200</v>
      </c>
      <c r="E19" s="19"/>
      <c r="F19" s="42" t="s">
        <v>201</v>
      </c>
      <c r="G19" s="61" t="s">
        <v>202</v>
      </c>
    </row>
    <row r="20" spans="1:7" s="14" customFormat="1" ht="15.6">
      <c r="A20" s="50"/>
      <c r="B20" s="49" t="s">
        <v>203</v>
      </c>
      <c r="D20" s="64" t="s">
        <v>204</v>
      </c>
      <c r="F20" s="42" t="s">
        <v>205</v>
      </c>
      <c r="G20" s="61" t="s">
        <v>206</v>
      </c>
    </row>
    <row r="21" spans="1:7" s="14" customFormat="1" ht="15.6">
      <c r="A21" s="50"/>
      <c r="B21" s="49" t="s">
        <v>207</v>
      </c>
      <c r="D21" s="64" t="s">
        <v>208</v>
      </c>
      <c r="F21" s="42" t="s">
        <v>209</v>
      </c>
      <c r="G21" s="61" t="s">
        <v>210</v>
      </c>
    </row>
    <row r="22" spans="1:7" s="14" customFormat="1" ht="15.6">
      <c r="A22" s="50"/>
      <c r="B22" s="49" t="s">
        <v>211</v>
      </c>
      <c r="D22" s="64" t="s">
        <v>212</v>
      </c>
      <c r="F22" s="42" t="s">
        <v>213</v>
      </c>
      <c r="G22" s="61" t="s">
        <v>214</v>
      </c>
    </row>
    <row r="23" spans="1:7" s="14" customFormat="1" ht="15.6">
      <c r="A23" s="50"/>
      <c r="B23" s="49" t="s">
        <v>215</v>
      </c>
      <c r="D23" s="64" t="s">
        <v>216</v>
      </c>
      <c r="F23" s="42" t="s">
        <v>217</v>
      </c>
      <c r="G23" s="61" t="s">
        <v>218</v>
      </c>
    </row>
    <row r="24" spans="1:7" s="14" customFormat="1" ht="15.6">
      <c r="A24" s="50"/>
      <c r="B24" s="49" t="s">
        <v>219</v>
      </c>
      <c r="D24" s="64" t="s">
        <v>220</v>
      </c>
      <c r="F24" s="42" t="s">
        <v>221</v>
      </c>
      <c r="G24" s="61" t="s">
        <v>222</v>
      </c>
    </row>
    <row r="25" spans="1:7" s="14" customFormat="1" ht="15.6">
      <c r="A25" s="50"/>
      <c r="B25" s="49" t="s">
        <v>223</v>
      </c>
      <c r="D25" s="64" t="s">
        <v>224</v>
      </c>
      <c r="F25" s="42" t="s">
        <v>225</v>
      </c>
      <c r="G25" s="61" t="s">
        <v>226</v>
      </c>
    </row>
    <row r="26" spans="1:7" s="14" customFormat="1" ht="15.6">
      <c r="A26" s="53"/>
      <c r="B26" s="49" t="s">
        <v>227</v>
      </c>
      <c r="D26" s="64" t="s">
        <v>228</v>
      </c>
      <c r="F26" s="42" t="s">
        <v>229</v>
      </c>
      <c r="G26" s="61" t="s">
        <v>230</v>
      </c>
    </row>
    <row r="27" spans="1:7" s="14" customFormat="1" ht="15.6">
      <c r="A27" s="53"/>
      <c r="B27" s="49" t="s">
        <v>231</v>
      </c>
      <c r="D27" s="64" t="s">
        <v>232</v>
      </c>
      <c r="F27" s="42" t="s">
        <v>233</v>
      </c>
      <c r="G27" s="61" t="s">
        <v>234</v>
      </c>
    </row>
    <row r="28" spans="1:7" s="14" customFormat="1" ht="15.6">
      <c r="A28" s="53"/>
      <c r="B28" s="49" t="s">
        <v>235</v>
      </c>
      <c r="D28" s="64" t="s">
        <v>236</v>
      </c>
      <c r="F28" s="42" t="s">
        <v>237</v>
      </c>
      <c r="G28" s="61" t="s">
        <v>238</v>
      </c>
    </row>
    <row r="29" spans="1:7" s="14" customFormat="1" ht="15.6">
      <c r="A29" s="53"/>
      <c r="B29" s="49" t="s">
        <v>239</v>
      </c>
      <c r="D29" s="64" t="s">
        <v>240</v>
      </c>
      <c r="F29" s="42" t="s">
        <v>241</v>
      </c>
      <c r="G29" s="61" t="s">
        <v>242</v>
      </c>
    </row>
    <row r="30" spans="1:7" s="14" customFormat="1" ht="15.6">
      <c r="A30" s="53"/>
      <c r="B30" s="49" t="s">
        <v>243</v>
      </c>
      <c r="D30" s="64" t="s">
        <v>244</v>
      </c>
      <c r="F30" s="42" t="s">
        <v>245</v>
      </c>
      <c r="G30" s="61" t="s">
        <v>246</v>
      </c>
    </row>
    <row r="31" spans="1:7" s="14" customFormat="1" ht="15.6">
      <c r="A31" s="53"/>
      <c r="B31" s="49" t="s">
        <v>247</v>
      </c>
      <c r="D31" s="64" t="s">
        <v>248</v>
      </c>
      <c r="F31" s="42" t="s">
        <v>249</v>
      </c>
      <c r="G31" s="61" t="s">
        <v>250</v>
      </c>
    </row>
    <row r="32" spans="1:7" s="14" customFormat="1" ht="15.6">
      <c r="A32" s="53"/>
      <c r="B32" s="49" t="s">
        <v>251</v>
      </c>
      <c r="D32" s="64" t="s">
        <v>252</v>
      </c>
      <c r="F32" s="42" t="s">
        <v>253</v>
      </c>
      <c r="G32" s="61" t="s">
        <v>254</v>
      </c>
    </row>
    <row r="33" spans="1:7" s="14" customFormat="1" ht="15.6">
      <c r="A33" s="53"/>
      <c r="B33" s="49" t="s">
        <v>255</v>
      </c>
      <c r="D33" s="64" t="s">
        <v>256</v>
      </c>
      <c r="F33" s="42" t="s">
        <v>257</v>
      </c>
      <c r="G33" s="61" t="s">
        <v>258</v>
      </c>
    </row>
    <row r="34" spans="1:7" s="14" customFormat="1" ht="15.6">
      <c r="A34" s="53"/>
      <c r="B34" s="49" t="s">
        <v>259</v>
      </c>
      <c r="D34" s="64" t="s">
        <v>260</v>
      </c>
      <c r="F34" s="42" t="s">
        <v>261</v>
      </c>
      <c r="G34" s="61" t="s">
        <v>262</v>
      </c>
    </row>
    <row r="35" spans="1:7" s="14" customFormat="1" ht="15.6">
      <c r="A35" s="53"/>
      <c r="B35" s="49" t="s">
        <v>263</v>
      </c>
      <c r="D35" s="64" t="s">
        <v>264</v>
      </c>
      <c r="F35" s="42" t="s">
        <v>265</v>
      </c>
      <c r="G35" s="61" t="s">
        <v>266</v>
      </c>
    </row>
    <row r="36" spans="1:7" s="14" customFormat="1" ht="15.6">
      <c r="B36" s="49" t="s">
        <v>267</v>
      </c>
      <c r="D36" s="64" t="s">
        <v>268</v>
      </c>
      <c r="F36" s="42" t="s">
        <v>269</v>
      </c>
      <c r="G36" s="61" t="s">
        <v>270</v>
      </c>
    </row>
    <row r="37" spans="1:7" s="14" customFormat="1" ht="15.6">
      <c r="B37" s="49" t="s">
        <v>271</v>
      </c>
      <c r="D37" s="64" t="s">
        <v>272</v>
      </c>
      <c r="F37" s="42" t="s">
        <v>273</v>
      </c>
      <c r="G37" s="61" t="s">
        <v>274</v>
      </c>
    </row>
    <row r="38" spans="1:7" s="14" customFormat="1" ht="15.6">
      <c r="B38" s="49" t="s">
        <v>275</v>
      </c>
      <c r="D38" s="64" t="s">
        <v>276</v>
      </c>
      <c r="F38" s="42" t="s">
        <v>277</v>
      </c>
      <c r="G38" s="61" t="s">
        <v>278</v>
      </c>
    </row>
    <row r="39" spans="1:7" s="14" customFormat="1" ht="15.6">
      <c r="B39" s="49" t="s">
        <v>279</v>
      </c>
      <c r="D39" s="64" t="s">
        <v>280</v>
      </c>
      <c r="F39" s="42" t="s">
        <v>281</v>
      </c>
      <c r="G39" s="61" t="s">
        <v>282</v>
      </c>
    </row>
    <row r="40" spans="1:7" s="14" customFormat="1" ht="15.6">
      <c r="B40" s="49" t="s">
        <v>283</v>
      </c>
      <c r="D40" s="64" t="s">
        <v>284</v>
      </c>
      <c r="F40" s="42" t="s">
        <v>285</v>
      </c>
      <c r="G40" s="61" t="s">
        <v>286</v>
      </c>
    </row>
    <row r="41" spans="1:7" s="14" customFormat="1" ht="15.6">
      <c r="B41" s="49" t="s">
        <v>287</v>
      </c>
      <c r="D41" s="64" t="s">
        <v>288</v>
      </c>
      <c r="F41" s="42" t="s">
        <v>289</v>
      </c>
      <c r="G41" s="61" t="s">
        <v>290</v>
      </c>
    </row>
    <row r="42" spans="1:7" s="14" customFormat="1" ht="15.6">
      <c r="B42" s="49" t="s">
        <v>291</v>
      </c>
      <c r="D42" s="64" t="s">
        <v>292</v>
      </c>
      <c r="F42" s="42" t="s">
        <v>293</v>
      </c>
      <c r="G42" s="61" t="s">
        <v>294</v>
      </c>
    </row>
    <row r="43" spans="1:7" s="14" customFormat="1" ht="15.6">
      <c r="B43" s="49" t="s">
        <v>295</v>
      </c>
      <c r="D43" s="64" t="s">
        <v>296</v>
      </c>
      <c r="F43" s="42" t="s">
        <v>297</v>
      </c>
      <c r="G43" s="61" t="s">
        <v>298</v>
      </c>
    </row>
    <row r="44" spans="1:7" s="14" customFormat="1" ht="15.6">
      <c r="B44" s="49" t="s">
        <v>299</v>
      </c>
      <c r="D44" s="64" t="s">
        <v>300</v>
      </c>
      <c r="F44" s="42" t="s">
        <v>301</v>
      </c>
      <c r="G44" s="61" t="s">
        <v>302</v>
      </c>
    </row>
    <row r="45" spans="1:7" s="14" customFormat="1" ht="15.6">
      <c r="B45" s="49" t="s">
        <v>303</v>
      </c>
      <c r="D45" s="64" t="s">
        <v>304</v>
      </c>
      <c r="F45" s="42" t="s">
        <v>305</v>
      </c>
      <c r="G45" s="61" t="s">
        <v>306</v>
      </c>
    </row>
    <row r="46" spans="1:7" s="14" customFormat="1" ht="15.6">
      <c r="B46" s="49" t="s">
        <v>307</v>
      </c>
      <c r="D46" s="64" t="s">
        <v>7</v>
      </c>
      <c r="F46" s="42" t="s">
        <v>308</v>
      </c>
      <c r="G46" s="61" t="s">
        <v>309</v>
      </c>
    </row>
    <row r="47" spans="1:7" s="14" customFormat="1" ht="15.6">
      <c r="B47" s="49" t="s">
        <v>310</v>
      </c>
      <c r="D47" s="64" t="s">
        <v>311</v>
      </c>
      <c r="F47" s="42" t="s">
        <v>312</v>
      </c>
      <c r="G47" s="61" t="s">
        <v>313</v>
      </c>
    </row>
    <row r="48" spans="1:7" s="14" customFormat="1" ht="15.6">
      <c r="B48" s="49" t="s">
        <v>314</v>
      </c>
      <c r="D48" s="64" t="s">
        <v>315</v>
      </c>
      <c r="F48" s="42" t="s">
        <v>316</v>
      </c>
      <c r="G48" s="61" t="s">
        <v>317</v>
      </c>
    </row>
    <row r="49" spans="2:7" s="14" customFormat="1" ht="15.6">
      <c r="B49" s="49" t="s">
        <v>318</v>
      </c>
      <c r="D49" s="64" t="s">
        <v>319</v>
      </c>
      <c r="F49" s="42" t="s">
        <v>320</v>
      </c>
      <c r="G49" s="61" t="s">
        <v>321</v>
      </c>
    </row>
    <row r="50" spans="2:7" s="14" customFormat="1" ht="15.6">
      <c r="B50" s="49" t="s">
        <v>322</v>
      </c>
      <c r="D50" s="64" t="s">
        <v>323</v>
      </c>
      <c r="F50" s="42" t="s">
        <v>324</v>
      </c>
      <c r="G50" s="61" t="s">
        <v>325</v>
      </c>
    </row>
    <row r="51" spans="2:7" s="14" customFormat="1" ht="15.6">
      <c r="B51" s="49" t="s">
        <v>326</v>
      </c>
      <c r="D51" s="64" t="s">
        <v>327</v>
      </c>
      <c r="F51" s="42" t="s">
        <v>328</v>
      </c>
      <c r="G51" s="61" t="s">
        <v>329</v>
      </c>
    </row>
    <row r="52" spans="2:7" s="14" customFormat="1" ht="15.6">
      <c r="B52" s="49" t="s">
        <v>330</v>
      </c>
      <c r="D52" s="64" t="s">
        <v>331</v>
      </c>
      <c r="F52" s="42" t="s">
        <v>332</v>
      </c>
      <c r="G52" s="61" t="s">
        <v>333</v>
      </c>
    </row>
    <row r="53" spans="2:7" s="14" customFormat="1" ht="15.6">
      <c r="B53" s="49" t="s">
        <v>334</v>
      </c>
      <c r="D53" s="64" t="s">
        <v>335</v>
      </c>
      <c r="F53" s="42" t="s">
        <v>336</v>
      </c>
      <c r="G53" s="61" t="s">
        <v>337</v>
      </c>
    </row>
    <row r="54" spans="2:7" s="14" customFormat="1" ht="15.6">
      <c r="B54" s="49" t="s">
        <v>338</v>
      </c>
      <c r="D54" s="64" t="s">
        <v>339</v>
      </c>
      <c r="F54" s="42" t="s">
        <v>340</v>
      </c>
      <c r="G54" s="61" t="s">
        <v>341</v>
      </c>
    </row>
    <row r="55" spans="2:7" s="14" customFormat="1" ht="15.6">
      <c r="B55" s="49" t="s">
        <v>342</v>
      </c>
      <c r="D55" s="64" t="s">
        <v>343</v>
      </c>
      <c r="F55" s="42" t="s">
        <v>344</v>
      </c>
      <c r="G55" s="61" t="s">
        <v>345</v>
      </c>
    </row>
    <row r="56" spans="2:7" s="14" customFormat="1" ht="15.6">
      <c r="B56" s="49" t="s">
        <v>346</v>
      </c>
      <c r="D56" s="64" t="s">
        <v>347</v>
      </c>
      <c r="F56" s="42" t="s">
        <v>348</v>
      </c>
      <c r="G56" s="61" t="s">
        <v>349</v>
      </c>
    </row>
    <row r="57" spans="2:7" s="14" customFormat="1" ht="15.6">
      <c r="B57" s="49" t="s">
        <v>350</v>
      </c>
      <c r="D57" s="65" t="s">
        <v>351</v>
      </c>
      <c r="F57" s="42" t="s">
        <v>352</v>
      </c>
      <c r="G57" s="61" t="s">
        <v>353</v>
      </c>
    </row>
    <row r="58" spans="2:7" s="14" customFormat="1" ht="15.6">
      <c r="B58" s="49" t="s">
        <v>354</v>
      </c>
      <c r="D58" s="55"/>
      <c r="F58" s="42" t="s">
        <v>355</v>
      </c>
      <c r="G58" s="61" t="s">
        <v>356</v>
      </c>
    </row>
    <row r="59" spans="2:7" s="14" customFormat="1" ht="15.6">
      <c r="B59" s="49" t="s">
        <v>357</v>
      </c>
      <c r="D59" s="13"/>
      <c r="F59" s="42" t="s">
        <v>358</v>
      </c>
      <c r="G59" s="61" t="s">
        <v>359</v>
      </c>
    </row>
    <row r="60" spans="2:7" s="14" customFormat="1" ht="15.6">
      <c r="B60" s="49" t="s">
        <v>360</v>
      </c>
      <c r="D60" s="13"/>
      <c r="F60" s="42" t="s">
        <v>361</v>
      </c>
      <c r="G60" s="61" t="s">
        <v>362</v>
      </c>
    </row>
    <row r="61" spans="2:7" s="14" customFormat="1" ht="15.6">
      <c r="B61" s="49" t="s">
        <v>363</v>
      </c>
      <c r="D61" s="13"/>
      <c r="F61" s="42" t="s">
        <v>364</v>
      </c>
      <c r="G61" s="61" t="s">
        <v>365</v>
      </c>
    </row>
    <row r="62" spans="2:7" s="14" customFormat="1" ht="15.6">
      <c r="B62" s="49" t="s">
        <v>366</v>
      </c>
      <c r="D62" s="13"/>
      <c r="F62" s="42" t="s">
        <v>367</v>
      </c>
      <c r="G62" s="61" t="s">
        <v>368</v>
      </c>
    </row>
    <row r="63" spans="2:7" s="14" customFormat="1" ht="15.6">
      <c r="B63" s="49" t="s">
        <v>369</v>
      </c>
      <c r="D63" s="13"/>
      <c r="F63" s="42" t="s">
        <v>370</v>
      </c>
      <c r="G63" s="61" t="s">
        <v>371</v>
      </c>
    </row>
    <row r="64" spans="2:7" s="14" customFormat="1" ht="15.6">
      <c r="B64" s="49" t="s">
        <v>372</v>
      </c>
      <c r="D64" s="13"/>
      <c r="F64" s="42" t="s">
        <v>373</v>
      </c>
      <c r="G64" s="61" t="s">
        <v>374</v>
      </c>
    </row>
    <row r="65" spans="2:7" s="14" customFormat="1" ht="15.6">
      <c r="B65" s="49" t="s">
        <v>375</v>
      </c>
      <c r="D65" s="13"/>
      <c r="F65" s="42" t="s">
        <v>376</v>
      </c>
      <c r="G65" s="61" t="s">
        <v>377</v>
      </c>
    </row>
    <row r="66" spans="2:7" s="14" customFormat="1" ht="15.6">
      <c r="B66" s="49" t="s">
        <v>378</v>
      </c>
      <c r="D66" s="13"/>
      <c r="F66" s="42" t="s">
        <v>379</v>
      </c>
      <c r="G66" s="61" t="s">
        <v>380</v>
      </c>
    </row>
    <row r="67" spans="2:7" s="14" customFormat="1" ht="15.6">
      <c r="B67" s="49" t="s">
        <v>381</v>
      </c>
      <c r="D67" s="13"/>
      <c r="F67" s="42" t="s">
        <v>382</v>
      </c>
      <c r="G67" s="61" t="s">
        <v>383</v>
      </c>
    </row>
    <row r="68" spans="2:7" s="14" customFormat="1" ht="15.6">
      <c r="B68" s="49" t="s">
        <v>384</v>
      </c>
      <c r="D68" s="13"/>
      <c r="F68" s="42" t="s">
        <v>385</v>
      </c>
      <c r="G68" s="61" t="s">
        <v>386</v>
      </c>
    </row>
    <row r="69" spans="2:7" s="14" customFormat="1" ht="15.6">
      <c r="B69" s="49" t="s">
        <v>387</v>
      </c>
      <c r="D69" s="13"/>
      <c r="F69" s="42" t="s">
        <v>388</v>
      </c>
      <c r="G69" s="61" t="s">
        <v>389</v>
      </c>
    </row>
    <row r="70" spans="2:7" s="14" customFormat="1" ht="15.6">
      <c r="B70" s="49" t="s">
        <v>390</v>
      </c>
      <c r="D70" s="13"/>
      <c r="F70" s="42" t="s">
        <v>391</v>
      </c>
      <c r="G70" s="61" t="s">
        <v>392</v>
      </c>
    </row>
    <row r="71" spans="2:7" s="14" customFormat="1" ht="15.6">
      <c r="B71" s="49" t="s">
        <v>393</v>
      </c>
      <c r="D71" s="13"/>
      <c r="F71" s="42" t="s">
        <v>394</v>
      </c>
      <c r="G71" s="61" t="s">
        <v>395</v>
      </c>
    </row>
    <row r="72" spans="2:7" s="14" customFormat="1" ht="15.6">
      <c r="B72" s="49" t="s">
        <v>396</v>
      </c>
      <c r="D72" s="13"/>
      <c r="F72" s="42" t="s">
        <v>397</v>
      </c>
      <c r="G72" s="61" t="s">
        <v>398</v>
      </c>
    </row>
    <row r="73" spans="2:7" s="14" customFormat="1" ht="15.6">
      <c r="B73" s="49" t="s">
        <v>399</v>
      </c>
      <c r="D73" s="13"/>
      <c r="F73" s="42" t="s">
        <v>400</v>
      </c>
      <c r="G73" s="61" t="s">
        <v>401</v>
      </c>
    </row>
    <row r="74" spans="2:7" s="14" customFormat="1" ht="15.6">
      <c r="B74" s="49" t="s">
        <v>402</v>
      </c>
      <c r="D74" s="13"/>
      <c r="F74" s="42" t="s">
        <v>403</v>
      </c>
      <c r="G74" s="61" t="s">
        <v>404</v>
      </c>
    </row>
    <row r="75" spans="2:7" s="14" customFormat="1" ht="15.6">
      <c r="B75" s="49" t="s">
        <v>405</v>
      </c>
      <c r="D75" s="13"/>
      <c r="F75" s="42" t="s">
        <v>406</v>
      </c>
      <c r="G75" s="61" t="s">
        <v>407</v>
      </c>
    </row>
    <row r="76" spans="2:7" s="14" customFormat="1" ht="15.6">
      <c r="B76" s="49" t="s">
        <v>408</v>
      </c>
      <c r="D76" s="13"/>
      <c r="F76" s="42" t="s">
        <v>409</v>
      </c>
      <c r="G76" s="61" t="s">
        <v>410</v>
      </c>
    </row>
    <row r="77" spans="2:7" s="14" customFormat="1" ht="15.6">
      <c r="B77" s="49" t="s">
        <v>411</v>
      </c>
      <c r="D77" s="13"/>
      <c r="F77" s="42" t="s">
        <v>412</v>
      </c>
      <c r="G77" s="61" t="s">
        <v>413</v>
      </c>
    </row>
    <row r="78" spans="2:7" s="14" customFormat="1" ht="15.6">
      <c r="B78" s="49" t="s">
        <v>414</v>
      </c>
      <c r="D78" s="13"/>
      <c r="F78" s="42" t="s">
        <v>415</v>
      </c>
      <c r="G78" s="61" t="s">
        <v>416</v>
      </c>
    </row>
    <row r="79" spans="2:7" s="14" customFormat="1" ht="15.6">
      <c r="B79" s="49" t="s">
        <v>417</v>
      </c>
      <c r="D79" s="13"/>
      <c r="F79" s="42" t="s">
        <v>418</v>
      </c>
      <c r="G79" s="61" t="s">
        <v>419</v>
      </c>
    </row>
    <row r="80" spans="2:7" s="14" customFormat="1" ht="15.6">
      <c r="B80" s="49" t="s">
        <v>420</v>
      </c>
      <c r="D80" s="13"/>
      <c r="F80" s="42" t="s">
        <v>421</v>
      </c>
      <c r="G80" s="61" t="s">
        <v>422</v>
      </c>
    </row>
    <row r="81" spans="2:7" s="14" customFormat="1" ht="15.6">
      <c r="B81" s="49" t="s">
        <v>423</v>
      </c>
      <c r="D81" s="13"/>
      <c r="F81" s="42" t="s">
        <v>424</v>
      </c>
      <c r="G81" s="61" t="s">
        <v>425</v>
      </c>
    </row>
    <row r="82" spans="2:7" s="14" customFormat="1" ht="15.6">
      <c r="B82" s="49" t="s">
        <v>426</v>
      </c>
      <c r="D82" s="13"/>
      <c r="F82" s="42" t="s">
        <v>427</v>
      </c>
      <c r="G82" s="61" t="s">
        <v>428</v>
      </c>
    </row>
    <row r="83" spans="2:7" s="14" customFormat="1" ht="15.6">
      <c r="B83" s="49" t="s">
        <v>429</v>
      </c>
      <c r="D83" s="13"/>
      <c r="F83" s="42" t="s">
        <v>430</v>
      </c>
      <c r="G83" s="61" t="s">
        <v>431</v>
      </c>
    </row>
    <row r="84" spans="2:7" s="14" customFormat="1" ht="15.6">
      <c r="B84" s="49" t="s">
        <v>432</v>
      </c>
      <c r="D84" s="13"/>
      <c r="F84" s="42" t="s">
        <v>433</v>
      </c>
      <c r="G84" s="61" t="s">
        <v>434</v>
      </c>
    </row>
    <row r="85" spans="2:7" s="14" customFormat="1" ht="15.6">
      <c r="B85" s="49" t="s">
        <v>435</v>
      </c>
      <c r="D85" s="13"/>
      <c r="F85" s="42" t="s">
        <v>436</v>
      </c>
      <c r="G85" s="61" t="s">
        <v>437</v>
      </c>
    </row>
    <row r="86" spans="2:7" s="14" customFormat="1" ht="15.6">
      <c r="B86" s="49" t="s">
        <v>438</v>
      </c>
      <c r="D86" s="13"/>
      <c r="F86" s="42" t="s">
        <v>439</v>
      </c>
      <c r="G86" s="61" t="s">
        <v>440</v>
      </c>
    </row>
    <row r="87" spans="2:7" s="14" customFormat="1" ht="15.6">
      <c r="B87" s="49" t="s">
        <v>441</v>
      </c>
      <c r="D87" s="13"/>
      <c r="F87" s="42" t="s">
        <v>442</v>
      </c>
      <c r="G87" s="61" t="s">
        <v>443</v>
      </c>
    </row>
    <row r="88" spans="2:7" s="14" customFormat="1" ht="15.6">
      <c r="B88" s="49" t="s">
        <v>444</v>
      </c>
      <c r="D88" s="13"/>
      <c r="F88" s="42" t="s">
        <v>445</v>
      </c>
      <c r="G88" s="61" t="s">
        <v>446</v>
      </c>
    </row>
    <row r="89" spans="2:7" s="14" customFormat="1" ht="15.6">
      <c r="B89" s="49" t="s">
        <v>447</v>
      </c>
      <c r="D89" s="13"/>
      <c r="F89" s="42" t="s">
        <v>448</v>
      </c>
      <c r="G89" s="61" t="s">
        <v>449</v>
      </c>
    </row>
    <row r="90" spans="2:7" s="14" customFormat="1" ht="15.6">
      <c r="B90" s="49" t="s">
        <v>450</v>
      </c>
      <c r="D90" s="13"/>
      <c r="F90" s="42" t="s">
        <v>451</v>
      </c>
      <c r="G90" s="61" t="s">
        <v>452</v>
      </c>
    </row>
    <row r="91" spans="2:7" s="14" customFormat="1" ht="15.6">
      <c r="B91" s="49" t="s">
        <v>453</v>
      </c>
      <c r="D91" s="13"/>
      <c r="F91" s="42" t="s">
        <v>454</v>
      </c>
      <c r="G91" s="61" t="s">
        <v>455</v>
      </c>
    </row>
    <row r="92" spans="2:7" s="14" customFormat="1" ht="15.6">
      <c r="B92" s="49" t="s">
        <v>456</v>
      </c>
      <c r="D92" s="13"/>
      <c r="F92" s="42" t="s">
        <v>457</v>
      </c>
      <c r="G92" s="61" t="s">
        <v>458</v>
      </c>
    </row>
    <row r="93" spans="2:7" s="14" customFormat="1" ht="15.6">
      <c r="B93" s="49" t="s">
        <v>459</v>
      </c>
      <c r="D93" s="13"/>
      <c r="F93" s="42" t="s">
        <v>460</v>
      </c>
      <c r="G93" s="61" t="s">
        <v>461</v>
      </c>
    </row>
    <row r="94" spans="2:7" s="14" customFormat="1" ht="15.6">
      <c r="B94" s="49" t="s">
        <v>462</v>
      </c>
      <c r="D94" s="13"/>
      <c r="F94" s="42" t="s">
        <v>463</v>
      </c>
      <c r="G94" s="61" t="s">
        <v>464</v>
      </c>
    </row>
    <row r="95" spans="2:7" s="14" customFormat="1" ht="15.6">
      <c r="B95" s="49" t="s">
        <v>465</v>
      </c>
      <c r="D95" s="13"/>
      <c r="F95" s="42" t="s">
        <v>466</v>
      </c>
      <c r="G95" s="61" t="s">
        <v>467</v>
      </c>
    </row>
    <row r="96" spans="2:7" s="14" customFormat="1" ht="15.6">
      <c r="B96" s="49" t="s">
        <v>468</v>
      </c>
      <c r="D96" s="13"/>
      <c r="F96" s="42" t="s">
        <v>469</v>
      </c>
      <c r="G96" s="61" t="s">
        <v>470</v>
      </c>
    </row>
    <row r="97" spans="2:7" s="14" customFormat="1" ht="15.6">
      <c r="B97" s="49" t="s">
        <v>471</v>
      </c>
      <c r="D97" s="13"/>
      <c r="F97" s="42" t="s">
        <v>472</v>
      </c>
      <c r="G97" s="61" t="s">
        <v>473</v>
      </c>
    </row>
    <row r="98" spans="2:7" s="14" customFormat="1" ht="15.6">
      <c r="B98" s="49" t="s">
        <v>474</v>
      </c>
      <c r="D98" s="13"/>
      <c r="F98" s="42" t="s">
        <v>475</v>
      </c>
      <c r="G98" s="61" t="s">
        <v>476</v>
      </c>
    </row>
    <row r="99" spans="2:7" s="14" customFormat="1" ht="15.6">
      <c r="B99" s="49" t="s">
        <v>477</v>
      </c>
      <c r="D99" s="13"/>
      <c r="F99" s="42" t="s">
        <v>478</v>
      </c>
      <c r="G99" s="61" t="s">
        <v>479</v>
      </c>
    </row>
    <row r="100" spans="2:7" s="14" customFormat="1" ht="15.6">
      <c r="B100" s="49" t="s">
        <v>480</v>
      </c>
      <c r="D100" s="13"/>
      <c r="F100" s="42" t="s">
        <v>481</v>
      </c>
      <c r="G100" s="61" t="s">
        <v>482</v>
      </c>
    </row>
    <row r="101" spans="2:7" s="14" customFormat="1" ht="15.6">
      <c r="B101" s="49" t="s">
        <v>483</v>
      </c>
      <c r="D101" s="13"/>
      <c r="F101" s="42" t="s">
        <v>484</v>
      </c>
      <c r="G101" s="61" t="s">
        <v>485</v>
      </c>
    </row>
    <row r="102" spans="2:7" s="14" customFormat="1" ht="15.6">
      <c r="B102" s="49" t="s">
        <v>486</v>
      </c>
      <c r="D102" s="13"/>
      <c r="F102" s="42" t="s">
        <v>487</v>
      </c>
      <c r="G102" s="61" t="s">
        <v>488</v>
      </c>
    </row>
    <row r="103" spans="2:7" s="14" customFormat="1" ht="15.6">
      <c r="B103" s="49" t="s">
        <v>489</v>
      </c>
      <c r="D103" s="13"/>
      <c r="F103" s="42" t="s">
        <v>490</v>
      </c>
      <c r="G103" s="61" t="s">
        <v>491</v>
      </c>
    </row>
    <row r="104" spans="2:7" s="14" customFormat="1" ht="15.6">
      <c r="B104" s="49" t="s">
        <v>492</v>
      </c>
      <c r="D104" s="13"/>
      <c r="F104" s="42" t="s">
        <v>493</v>
      </c>
      <c r="G104" s="61" t="s">
        <v>494</v>
      </c>
    </row>
    <row r="105" spans="2:7" s="14" customFormat="1" ht="15.6">
      <c r="B105" s="49" t="s">
        <v>495</v>
      </c>
      <c r="D105" s="13"/>
      <c r="F105" s="42" t="s">
        <v>9</v>
      </c>
      <c r="G105" s="61" t="s">
        <v>496</v>
      </c>
    </row>
    <row r="106" spans="2:7" s="14" customFormat="1" ht="15.6">
      <c r="B106" s="49" t="s">
        <v>497</v>
      </c>
      <c r="D106" s="13"/>
      <c r="F106" s="42" t="s">
        <v>498</v>
      </c>
      <c r="G106" s="61" t="s">
        <v>499</v>
      </c>
    </row>
    <row r="107" spans="2:7" s="14" customFormat="1" ht="15.6">
      <c r="B107" s="49" t="s">
        <v>500</v>
      </c>
      <c r="D107" s="13"/>
      <c r="F107" s="42" t="s">
        <v>501</v>
      </c>
      <c r="G107" s="61" t="s">
        <v>502</v>
      </c>
    </row>
    <row r="108" spans="2:7" s="14" customFormat="1" ht="15.6">
      <c r="B108" s="49" t="s">
        <v>503</v>
      </c>
      <c r="D108" s="13"/>
      <c r="F108" s="42" t="s">
        <v>504</v>
      </c>
      <c r="G108" s="61" t="s">
        <v>505</v>
      </c>
    </row>
    <row r="109" spans="2:7" s="14" customFormat="1" ht="15.6">
      <c r="B109" s="49" t="s">
        <v>506</v>
      </c>
      <c r="D109" s="13"/>
      <c r="F109" s="42" t="s">
        <v>507</v>
      </c>
      <c r="G109" s="61" t="s">
        <v>508</v>
      </c>
    </row>
    <row r="110" spans="2:7" s="14" customFormat="1" ht="15.6">
      <c r="B110" s="49" t="s">
        <v>509</v>
      </c>
      <c r="D110" s="13"/>
      <c r="F110" s="42" t="s">
        <v>510</v>
      </c>
      <c r="G110" s="61" t="s">
        <v>511</v>
      </c>
    </row>
    <row r="111" spans="2:7" s="14" customFormat="1" ht="15.6">
      <c r="B111" s="49" t="s">
        <v>512</v>
      </c>
      <c r="D111" s="13"/>
      <c r="F111" s="42" t="s">
        <v>513</v>
      </c>
      <c r="G111" s="61" t="s">
        <v>514</v>
      </c>
    </row>
    <row r="112" spans="2:7" s="14" customFormat="1" ht="15.6">
      <c r="B112" s="49" t="s">
        <v>515</v>
      </c>
      <c r="D112" s="13"/>
      <c r="F112" s="42" t="s">
        <v>516</v>
      </c>
      <c r="G112" s="61" t="s">
        <v>517</v>
      </c>
    </row>
    <row r="113" spans="2:7" s="14" customFormat="1" ht="15.6">
      <c r="B113" s="49" t="s">
        <v>518</v>
      </c>
      <c r="D113" s="13"/>
      <c r="F113" s="42" t="s">
        <v>519</v>
      </c>
      <c r="G113" s="61" t="s">
        <v>520</v>
      </c>
    </row>
    <row r="114" spans="2:7" s="14" customFormat="1" ht="15.6">
      <c r="B114" s="49" t="s">
        <v>521</v>
      </c>
      <c r="D114" s="13"/>
      <c r="F114" s="42" t="s">
        <v>522</v>
      </c>
      <c r="G114" s="61" t="s">
        <v>523</v>
      </c>
    </row>
    <row r="115" spans="2:7" s="14" customFormat="1" ht="15.6">
      <c r="B115" s="49" t="s">
        <v>524</v>
      </c>
      <c r="D115" s="13"/>
      <c r="F115" s="42" t="s">
        <v>525</v>
      </c>
      <c r="G115" s="61" t="s">
        <v>526</v>
      </c>
    </row>
    <row r="116" spans="2:7" s="14" customFormat="1" ht="15.6">
      <c r="B116" s="49" t="s">
        <v>527</v>
      </c>
      <c r="D116" s="13"/>
      <c r="F116" s="42" t="s">
        <v>528</v>
      </c>
      <c r="G116" s="61" t="s">
        <v>529</v>
      </c>
    </row>
    <row r="117" spans="2:7" s="14" customFormat="1" ht="15.6">
      <c r="B117" s="49" t="s">
        <v>530</v>
      </c>
      <c r="D117" s="13"/>
      <c r="F117" s="42" t="s">
        <v>531</v>
      </c>
      <c r="G117" s="61" t="s">
        <v>532</v>
      </c>
    </row>
    <row r="118" spans="2:7" s="14" customFormat="1" ht="15.6">
      <c r="B118" s="49" t="s">
        <v>533</v>
      </c>
      <c r="D118" s="13"/>
      <c r="F118" s="42" t="s">
        <v>534</v>
      </c>
      <c r="G118" s="61" t="s">
        <v>535</v>
      </c>
    </row>
    <row r="119" spans="2:7" s="14" customFormat="1" ht="15.6">
      <c r="B119" s="49" t="s">
        <v>536</v>
      </c>
      <c r="D119" s="13"/>
      <c r="F119" s="42" t="s">
        <v>537</v>
      </c>
      <c r="G119" s="61" t="s">
        <v>538</v>
      </c>
    </row>
    <row r="120" spans="2:7" s="14" customFormat="1" ht="15.6">
      <c r="B120" s="49" t="s">
        <v>539</v>
      </c>
      <c r="D120" s="13"/>
      <c r="F120" s="42" t="s">
        <v>540</v>
      </c>
      <c r="G120" s="61" t="s">
        <v>541</v>
      </c>
    </row>
    <row r="121" spans="2:7" s="14" customFormat="1" ht="15.6">
      <c r="B121" s="49" t="s">
        <v>542</v>
      </c>
      <c r="D121" s="13"/>
      <c r="F121" s="42" t="s">
        <v>543</v>
      </c>
      <c r="G121" s="61" t="s">
        <v>544</v>
      </c>
    </row>
    <row r="122" spans="2:7" s="14" customFormat="1" ht="15.6">
      <c r="B122" s="49" t="s">
        <v>545</v>
      </c>
      <c r="D122" s="13"/>
      <c r="F122" s="42" t="s">
        <v>546</v>
      </c>
      <c r="G122" s="61" t="s">
        <v>547</v>
      </c>
    </row>
    <row r="123" spans="2:7" s="14" customFormat="1" ht="15.6">
      <c r="B123" s="49" t="s">
        <v>548</v>
      </c>
      <c r="D123" s="13"/>
      <c r="F123" s="42" t="s">
        <v>549</v>
      </c>
      <c r="G123" s="61" t="s">
        <v>550</v>
      </c>
    </row>
    <row r="124" spans="2:7" s="14" customFormat="1" ht="15.6">
      <c r="B124" s="49" t="s">
        <v>551</v>
      </c>
      <c r="D124" s="13"/>
      <c r="F124" s="42" t="s">
        <v>552</v>
      </c>
      <c r="G124" s="61" t="s">
        <v>553</v>
      </c>
    </row>
    <row r="125" spans="2:7" s="14" customFormat="1" ht="15.6">
      <c r="B125" s="49" t="s">
        <v>554</v>
      </c>
      <c r="D125" s="13"/>
      <c r="F125" s="42" t="s">
        <v>555</v>
      </c>
      <c r="G125" s="61" t="s">
        <v>556</v>
      </c>
    </row>
    <row r="126" spans="2:7" s="14" customFormat="1" ht="15.6">
      <c r="B126" s="49" t="s">
        <v>557</v>
      </c>
      <c r="D126" s="13"/>
      <c r="F126" s="42" t="s">
        <v>558</v>
      </c>
      <c r="G126" s="61" t="s">
        <v>559</v>
      </c>
    </row>
    <row r="127" spans="2:7" s="14" customFormat="1" ht="15.6">
      <c r="B127" s="49" t="s">
        <v>560</v>
      </c>
      <c r="D127" s="13"/>
      <c r="F127" s="42" t="s">
        <v>561</v>
      </c>
      <c r="G127" s="61" t="s">
        <v>562</v>
      </c>
    </row>
    <row r="128" spans="2:7" s="14" customFormat="1" ht="15.6">
      <c r="B128" s="49" t="s">
        <v>563</v>
      </c>
      <c r="D128" s="13"/>
      <c r="F128" s="42" t="s">
        <v>564</v>
      </c>
      <c r="G128" s="61" t="s">
        <v>565</v>
      </c>
    </row>
    <row r="129" spans="2:7" s="14" customFormat="1" ht="15.6">
      <c r="B129" s="49" t="s">
        <v>566</v>
      </c>
      <c r="D129" s="13"/>
      <c r="F129" s="42" t="s">
        <v>567</v>
      </c>
      <c r="G129" s="61" t="s">
        <v>568</v>
      </c>
    </row>
    <row r="130" spans="2:7" s="14" customFormat="1" ht="15.6">
      <c r="B130" s="49" t="s">
        <v>569</v>
      </c>
      <c r="D130" s="13"/>
      <c r="F130" s="42" t="s">
        <v>570</v>
      </c>
      <c r="G130" s="61" t="s">
        <v>571</v>
      </c>
    </row>
    <row r="131" spans="2:7" s="14" customFormat="1" ht="15.6">
      <c r="B131" s="49" t="s">
        <v>572</v>
      </c>
      <c r="D131" s="13"/>
      <c r="F131" s="42" t="s">
        <v>573</v>
      </c>
      <c r="G131" s="61" t="s">
        <v>574</v>
      </c>
    </row>
    <row r="132" spans="2:7" s="14" customFormat="1" ht="15.6">
      <c r="B132" s="49" t="s">
        <v>575</v>
      </c>
      <c r="D132" s="13"/>
      <c r="F132" s="42" t="s">
        <v>576</v>
      </c>
      <c r="G132" s="61" t="s">
        <v>577</v>
      </c>
    </row>
    <row r="133" spans="2:7" s="14" customFormat="1" ht="15.6">
      <c r="B133" s="49" t="s">
        <v>578</v>
      </c>
      <c r="D133" s="13"/>
      <c r="F133" s="42" t="s">
        <v>579</v>
      </c>
      <c r="G133" s="61" t="s">
        <v>580</v>
      </c>
    </row>
    <row r="134" spans="2:7" s="14" customFormat="1" ht="15.6">
      <c r="B134" s="49" t="s">
        <v>581</v>
      </c>
      <c r="D134" s="13"/>
      <c r="F134" s="42" t="s">
        <v>582</v>
      </c>
      <c r="G134" s="61" t="s">
        <v>583</v>
      </c>
    </row>
    <row r="135" spans="2:7" s="14" customFormat="1" ht="15.6">
      <c r="B135" s="49" t="s">
        <v>584</v>
      </c>
      <c r="D135" s="13"/>
      <c r="F135" s="42" t="s">
        <v>585</v>
      </c>
      <c r="G135" s="61" t="s">
        <v>586</v>
      </c>
    </row>
    <row r="136" spans="2:7" s="14" customFormat="1" ht="15.6">
      <c r="B136" s="49" t="s">
        <v>587</v>
      </c>
      <c r="D136" s="13"/>
      <c r="F136" s="42" t="s">
        <v>588</v>
      </c>
      <c r="G136" s="61" t="s">
        <v>589</v>
      </c>
    </row>
    <row r="137" spans="2:7" s="14" customFormat="1" ht="15.6">
      <c r="B137" s="49" t="s">
        <v>590</v>
      </c>
      <c r="D137" s="13"/>
      <c r="F137" s="42" t="s">
        <v>591</v>
      </c>
      <c r="G137" s="61" t="s">
        <v>592</v>
      </c>
    </row>
    <row r="138" spans="2:7" s="14" customFormat="1" ht="15.6">
      <c r="B138" s="49" t="s">
        <v>593</v>
      </c>
      <c r="D138" s="13"/>
      <c r="F138" s="42" t="s">
        <v>594</v>
      </c>
      <c r="G138" s="61" t="s">
        <v>595</v>
      </c>
    </row>
    <row r="139" spans="2:7" s="14" customFormat="1" ht="15.6">
      <c r="B139" s="49" t="s">
        <v>596</v>
      </c>
      <c r="D139" s="13"/>
      <c r="F139" s="42" t="s">
        <v>597</v>
      </c>
      <c r="G139" s="61" t="s">
        <v>598</v>
      </c>
    </row>
    <row r="140" spans="2:7" s="14" customFormat="1" ht="15.6">
      <c r="B140" s="49" t="s">
        <v>599</v>
      </c>
      <c r="D140" s="13"/>
      <c r="F140" s="42" t="s">
        <v>600</v>
      </c>
      <c r="G140" s="61" t="s">
        <v>601</v>
      </c>
    </row>
    <row r="141" spans="2:7" s="14" customFormat="1" ht="15.6">
      <c r="B141" s="49" t="s">
        <v>602</v>
      </c>
      <c r="D141" s="13"/>
      <c r="F141" s="42" t="s">
        <v>603</v>
      </c>
      <c r="G141" s="61" t="s">
        <v>604</v>
      </c>
    </row>
    <row r="142" spans="2:7" s="14" customFormat="1" ht="15.6">
      <c r="B142" s="49" t="s">
        <v>605</v>
      </c>
      <c r="D142" s="13"/>
      <c r="F142" s="42" t="s">
        <v>606</v>
      </c>
      <c r="G142" s="61" t="s">
        <v>607</v>
      </c>
    </row>
    <row r="143" spans="2:7" s="14" customFormat="1" ht="15.6">
      <c r="B143" s="49" t="s">
        <v>608</v>
      </c>
      <c r="D143" s="13"/>
      <c r="F143" s="42" t="s">
        <v>609</v>
      </c>
      <c r="G143" s="61" t="s">
        <v>610</v>
      </c>
    </row>
    <row r="144" spans="2:7" s="14" customFormat="1" ht="15.6">
      <c r="B144" s="49" t="s">
        <v>611</v>
      </c>
      <c r="D144" s="13"/>
      <c r="F144" s="42" t="s">
        <v>612</v>
      </c>
      <c r="G144" s="61" t="s">
        <v>613</v>
      </c>
    </row>
    <row r="145" spans="2:7" s="14" customFormat="1" ht="15.6">
      <c r="B145" s="49" t="s">
        <v>614</v>
      </c>
      <c r="D145" s="13"/>
      <c r="F145" s="42" t="s">
        <v>615</v>
      </c>
      <c r="G145" s="61" t="s">
        <v>616</v>
      </c>
    </row>
    <row r="146" spans="2:7" s="14" customFormat="1" ht="15.6">
      <c r="B146" s="49" t="s">
        <v>617</v>
      </c>
      <c r="D146" s="13"/>
      <c r="F146" s="42" t="s">
        <v>618</v>
      </c>
      <c r="G146" s="61" t="s">
        <v>619</v>
      </c>
    </row>
    <row r="147" spans="2:7" s="14" customFormat="1" ht="15.6">
      <c r="B147" s="49" t="s">
        <v>620</v>
      </c>
      <c r="D147" s="13"/>
      <c r="F147" s="42" t="s">
        <v>621</v>
      </c>
      <c r="G147" s="61" t="s">
        <v>622</v>
      </c>
    </row>
    <row r="148" spans="2:7" s="14" customFormat="1" ht="15.6">
      <c r="B148" s="49" t="s">
        <v>623</v>
      </c>
      <c r="D148" s="13"/>
      <c r="F148" s="42" t="s">
        <v>624</v>
      </c>
      <c r="G148" s="61" t="s">
        <v>625</v>
      </c>
    </row>
    <row r="149" spans="2:7" s="14" customFormat="1" ht="15.6">
      <c r="B149" s="49" t="s">
        <v>626</v>
      </c>
      <c r="D149" s="13"/>
      <c r="F149" s="42" t="s">
        <v>627</v>
      </c>
      <c r="G149" s="61" t="s">
        <v>628</v>
      </c>
    </row>
    <row r="150" spans="2:7" s="14" customFormat="1" ht="15.6">
      <c r="B150" s="49" t="s">
        <v>629</v>
      </c>
      <c r="D150" s="13"/>
      <c r="F150" s="42" t="s">
        <v>630</v>
      </c>
      <c r="G150" s="61" t="s">
        <v>631</v>
      </c>
    </row>
    <row r="151" spans="2:7" s="14" customFormat="1" ht="15.6">
      <c r="B151" s="49" t="s">
        <v>632</v>
      </c>
      <c r="D151" s="13"/>
      <c r="F151" s="42" t="s">
        <v>633</v>
      </c>
      <c r="G151" s="61" t="s">
        <v>634</v>
      </c>
    </row>
    <row r="152" spans="2:7" s="14" customFormat="1" ht="15.6">
      <c r="B152" s="49" t="s">
        <v>635</v>
      </c>
      <c r="D152" s="13"/>
      <c r="F152" s="42" t="s">
        <v>636</v>
      </c>
      <c r="G152" s="61" t="s">
        <v>637</v>
      </c>
    </row>
    <row r="153" spans="2:7" s="14" customFormat="1" ht="15.6">
      <c r="B153" s="49" t="s">
        <v>638</v>
      </c>
      <c r="D153" s="13"/>
      <c r="F153" s="42" t="s">
        <v>639</v>
      </c>
      <c r="G153" s="61" t="s">
        <v>640</v>
      </c>
    </row>
    <row r="154" spans="2:7" s="14" customFormat="1" ht="15.6">
      <c r="B154" s="49" t="s">
        <v>641</v>
      </c>
      <c r="D154" s="13"/>
      <c r="F154" s="42" t="s">
        <v>642</v>
      </c>
      <c r="G154" s="61" t="s">
        <v>643</v>
      </c>
    </row>
    <row r="155" spans="2:7" s="14" customFormat="1" ht="15.6">
      <c r="B155" s="49" t="s">
        <v>644</v>
      </c>
      <c r="D155" s="13"/>
      <c r="F155" s="42" t="s">
        <v>645</v>
      </c>
      <c r="G155" s="61" t="s">
        <v>646</v>
      </c>
    </row>
    <row r="156" spans="2:7" s="14" customFormat="1" ht="15.6">
      <c r="B156" s="49" t="s">
        <v>647</v>
      </c>
      <c r="D156" s="13"/>
      <c r="F156" s="42" t="s">
        <v>648</v>
      </c>
      <c r="G156" s="61" t="s">
        <v>649</v>
      </c>
    </row>
    <row r="157" spans="2:7" s="14" customFormat="1" ht="15.6">
      <c r="B157" s="49" t="s">
        <v>650</v>
      </c>
      <c r="D157" s="13"/>
      <c r="F157" s="42" t="s">
        <v>651</v>
      </c>
      <c r="G157" s="61" t="s">
        <v>652</v>
      </c>
    </row>
    <row r="158" spans="2:7" s="14" customFormat="1" ht="15.6">
      <c r="B158" s="49" t="s">
        <v>653</v>
      </c>
      <c r="D158" s="13"/>
      <c r="F158" s="42" t="s">
        <v>654</v>
      </c>
      <c r="G158" s="61" t="s">
        <v>655</v>
      </c>
    </row>
    <row r="159" spans="2:7" s="14" customFormat="1" ht="15.6">
      <c r="B159" s="49" t="s">
        <v>656</v>
      </c>
      <c r="D159" s="13"/>
      <c r="F159" s="42" t="s">
        <v>657</v>
      </c>
      <c r="G159" s="61" t="s">
        <v>658</v>
      </c>
    </row>
    <row r="160" spans="2:7" s="14" customFormat="1" ht="15.6">
      <c r="B160" s="49" t="s">
        <v>659</v>
      </c>
      <c r="D160" s="13"/>
      <c r="F160" s="42" t="s">
        <v>660</v>
      </c>
      <c r="G160" s="61" t="s">
        <v>661</v>
      </c>
    </row>
    <row r="161" spans="2:7" s="14" customFormat="1" ht="15.6">
      <c r="B161" s="49" t="s">
        <v>662</v>
      </c>
      <c r="D161" s="13"/>
      <c r="F161" s="42" t="s">
        <v>663</v>
      </c>
      <c r="G161" s="61" t="s">
        <v>664</v>
      </c>
    </row>
    <row r="162" spans="2:7" s="14" customFormat="1" ht="15.6">
      <c r="B162" s="49" t="s">
        <v>665</v>
      </c>
      <c r="D162" s="13"/>
      <c r="F162" s="42" t="s">
        <v>666</v>
      </c>
      <c r="G162" s="61" t="s">
        <v>667</v>
      </c>
    </row>
    <row r="163" spans="2:7" s="14" customFormat="1" ht="15.6">
      <c r="B163" s="49" t="s">
        <v>668</v>
      </c>
      <c r="D163" s="13"/>
      <c r="F163" s="42" t="s">
        <v>669</v>
      </c>
      <c r="G163" s="61" t="s">
        <v>670</v>
      </c>
    </row>
    <row r="164" spans="2:7" s="14" customFormat="1" ht="15.6">
      <c r="B164" s="49" t="s">
        <v>671</v>
      </c>
      <c r="D164" s="13"/>
      <c r="F164" s="42" t="s">
        <v>672</v>
      </c>
      <c r="G164" s="61" t="s">
        <v>673</v>
      </c>
    </row>
    <row r="165" spans="2:7" s="14" customFormat="1" ht="15.6">
      <c r="B165" s="49" t="s">
        <v>674</v>
      </c>
      <c r="D165" s="13"/>
      <c r="F165" s="42" t="s">
        <v>675</v>
      </c>
      <c r="G165" s="61" t="s">
        <v>676</v>
      </c>
    </row>
    <row r="166" spans="2:7" s="14" customFormat="1" ht="15.6">
      <c r="B166" s="49" t="s">
        <v>677</v>
      </c>
      <c r="D166" s="13"/>
      <c r="F166" s="42" t="s">
        <v>678</v>
      </c>
      <c r="G166" s="61" t="s">
        <v>679</v>
      </c>
    </row>
    <row r="167" spans="2:7" s="14" customFormat="1" ht="15.6">
      <c r="B167" s="49" t="s">
        <v>680</v>
      </c>
      <c r="D167" s="13"/>
      <c r="F167" s="42" t="s">
        <v>681</v>
      </c>
      <c r="G167" s="61" t="s">
        <v>682</v>
      </c>
    </row>
    <row r="168" spans="2:7" s="14" customFormat="1" ht="15.6">
      <c r="B168" s="49" t="s">
        <v>683</v>
      </c>
      <c r="D168" s="13"/>
      <c r="F168" s="42" t="s">
        <v>684</v>
      </c>
      <c r="G168" s="61" t="s">
        <v>685</v>
      </c>
    </row>
    <row r="169" spans="2:7" s="14" customFormat="1" ht="15.6">
      <c r="B169" s="49" t="s">
        <v>686</v>
      </c>
      <c r="D169" s="13"/>
      <c r="F169" s="42" t="s">
        <v>687</v>
      </c>
      <c r="G169" s="61" t="s">
        <v>688</v>
      </c>
    </row>
    <row r="170" spans="2:7" s="14" customFormat="1" ht="15.6">
      <c r="B170" s="49" t="s">
        <v>689</v>
      </c>
      <c r="D170" s="13"/>
      <c r="F170" s="42" t="s">
        <v>690</v>
      </c>
      <c r="G170" s="61" t="s">
        <v>691</v>
      </c>
    </row>
    <row r="171" spans="2:7" s="14" customFormat="1" ht="15.6">
      <c r="B171" s="49" t="s">
        <v>692</v>
      </c>
      <c r="D171" s="13"/>
      <c r="F171" s="42" t="s">
        <v>693</v>
      </c>
      <c r="G171" s="61" t="s">
        <v>694</v>
      </c>
    </row>
    <row r="172" spans="2:7" s="14" customFormat="1" ht="15.6">
      <c r="B172" s="49" t="s">
        <v>695</v>
      </c>
      <c r="D172" s="13"/>
      <c r="F172" s="42" t="s">
        <v>696</v>
      </c>
      <c r="G172" s="61" t="s">
        <v>697</v>
      </c>
    </row>
    <row r="173" spans="2:7" s="14" customFormat="1" ht="15.6">
      <c r="B173" s="49" t="s">
        <v>698</v>
      </c>
      <c r="D173" s="13"/>
      <c r="F173" s="42" t="s">
        <v>699</v>
      </c>
      <c r="G173" s="61" t="s">
        <v>700</v>
      </c>
    </row>
    <row r="174" spans="2:7" s="14" customFormat="1" ht="15.6">
      <c r="B174" s="49" t="s">
        <v>701</v>
      </c>
      <c r="D174" s="13"/>
      <c r="F174" s="42" t="s">
        <v>702</v>
      </c>
      <c r="G174" s="61" t="s">
        <v>703</v>
      </c>
    </row>
    <row r="175" spans="2:7" s="14" customFormat="1" ht="15.6">
      <c r="B175" s="49" t="s">
        <v>704</v>
      </c>
      <c r="D175" s="13"/>
      <c r="F175" s="42" t="s">
        <v>705</v>
      </c>
      <c r="G175" s="61" t="s">
        <v>706</v>
      </c>
    </row>
    <row r="176" spans="2:7" s="14" customFormat="1" ht="15.6">
      <c r="B176" s="49" t="s">
        <v>707</v>
      </c>
      <c r="D176" s="13"/>
      <c r="F176" s="42" t="s">
        <v>708</v>
      </c>
      <c r="G176" s="61" t="s">
        <v>709</v>
      </c>
    </row>
    <row r="177" spans="2:7" s="14" customFormat="1" ht="15.6">
      <c r="B177" s="49" t="s">
        <v>710</v>
      </c>
      <c r="D177" s="13"/>
      <c r="F177" s="42" t="s">
        <v>711</v>
      </c>
      <c r="G177" s="61" t="s">
        <v>712</v>
      </c>
    </row>
    <row r="178" spans="2:7" s="14" customFormat="1" ht="15.6">
      <c r="B178" s="49" t="s">
        <v>713</v>
      </c>
      <c r="D178" s="13"/>
      <c r="F178" s="42" t="s">
        <v>714</v>
      </c>
      <c r="G178" s="61" t="s">
        <v>715</v>
      </c>
    </row>
    <row r="179" spans="2:7" s="14" customFormat="1" ht="15.6">
      <c r="B179" s="49" t="s">
        <v>716</v>
      </c>
      <c r="D179" s="13"/>
      <c r="F179" s="42" t="s">
        <v>717</v>
      </c>
      <c r="G179" s="61" t="s">
        <v>718</v>
      </c>
    </row>
    <row r="180" spans="2:7" s="14" customFormat="1" ht="15.6">
      <c r="B180" s="49" t="s">
        <v>719</v>
      </c>
      <c r="D180" s="13"/>
      <c r="F180" s="42" t="s">
        <v>720</v>
      </c>
      <c r="G180" s="61" t="s">
        <v>721</v>
      </c>
    </row>
    <row r="181" spans="2:7" s="14" customFormat="1" ht="15.6">
      <c r="B181" s="49" t="s">
        <v>722</v>
      </c>
      <c r="D181" s="13"/>
      <c r="F181" s="42" t="s">
        <v>723</v>
      </c>
      <c r="G181" s="61" t="s">
        <v>724</v>
      </c>
    </row>
    <row r="182" spans="2:7" s="14" customFormat="1" ht="15.6">
      <c r="B182" s="49" t="s">
        <v>725</v>
      </c>
      <c r="D182" s="13"/>
      <c r="F182" s="42" t="s">
        <v>726</v>
      </c>
      <c r="G182" s="61" t="s">
        <v>727</v>
      </c>
    </row>
    <row r="183" spans="2:7" s="14" customFormat="1" ht="15.6">
      <c r="B183" s="49" t="s">
        <v>728</v>
      </c>
      <c r="D183" s="13"/>
      <c r="F183" s="42" t="s">
        <v>729</v>
      </c>
      <c r="G183" s="61" t="s">
        <v>730</v>
      </c>
    </row>
    <row r="184" spans="2:7" s="14" customFormat="1" ht="15.6">
      <c r="B184" s="49" t="s">
        <v>731</v>
      </c>
      <c r="D184" s="13"/>
      <c r="F184" s="42" t="s">
        <v>732</v>
      </c>
      <c r="G184" s="61" t="s">
        <v>733</v>
      </c>
    </row>
    <row r="185" spans="2:7" s="14" customFormat="1" ht="15.6">
      <c r="B185" s="49" t="s">
        <v>734</v>
      </c>
      <c r="D185" s="13"/>
      <c r="F185" s="42" t="s">
        <v>735</v>
      </c>
      <c r="G185" s="61" t="s">
        <v>736</v>
      </c>
    </row>
    <row r="186" spans="2:7" s="14" customFormat="1" ht="15.6">
      <c r="B186" s="49" t="s">
        <v>737</v>
      </c>
      <c r="D186" s="13"/>
      <c r="F186" s="42" t="s">
        <v>738</v>
      </c>
      <c r="G186" s="61" t="s">
        <v>739</v>
      </c>
    </row>
    <row r="187" spans="2:7" s="14" customFormat="1" ht="15.6">
      <c r="B187" s="49" t="s">
        <v>740</v>
      </c>
      <c r="D187" s="13"/>
      <c r="F187" s="42" t="s">
        <v>741</v>
      </c>
      <c r="G187" s="61" t="s">
        <v>742</v>
      </c>
    </row>
    <row r="188" spans="2:7" s="14" customFormat="1" ht="15.6">
      <c r="B188" s="49" t="s">
        <v>743</v>
      </c>
      <c r="D188" s="13"/>
      <c r="F188" s="42" t="s">
        <v>744</v>
      </c>
      <c r="G188" s="61" t="s">
        <v>745</v>
      </c>
    </row>
    <row r="189" spans="2:7" s="14" customFormat="1" ht="15.6">
      <c r="B189" s="49" t="s">
        <v>746</v>
      </c>
      <c r="D189" s="13"/>
      <c r="F189" s="42" t="s">
        <v>747</v>
      </c>
      <c r="G189" s="61" t="s">
        <v>748</v>
      </c>
    </row>
    <row r="190" spans="2:7" s="14" customFormat="1" ht="15.6">
      <c r="B190" s="49" t="s">
        <v>749</v>
      </c>
      <c r="D190" s="13"/>
      <c r="F190" s="42" t="s">
        <v>750</v>
      </c>
      <c r="G190" s="61" t="s">
        <v>751</v>
      </c>
    </row>
    <row r="191" spans="2:7" s="14" customFormat="1" ht="15.6">
      <c r="B191" s="49" t="s">
        <v>752</v>
      </c>
      <c r="D191" s="13"/>
      <c r="F191" s="42" t="s">
        <v>753</v>
      </c>
      <c r="G191" s="61" t="s">
        <v>754</v>
      </c>
    </row>
    <row r="192" spans="2:7" s="14" customFormat="1" ht="15.6">
      <c r="B192" s="49" t="s">
        <v>755</v>
      </c>
      <c r="D192" s="13"/>
      <c r="F192" s="42" t="s">
        <v>756</v>
      </c>
      <c r="G192" s="61" t="s">
        <v>757</v>
      </c>
    </row>
    <row r="193" spans="2:7" s="14" customFormat="1" ht="15.6">
      <c r="B193" s="49" t="s">
        <v>758</v>
      </c>
      <c r="D193" s="13"/>
      <c r="F193" s="42" t="s">
        <v>759</v>
      </c>
      <c r="G193" s="61" t="s">
        <v>760</v>
      </c>
    </row>
    <row r="194" spans="2:7" s="14" customFormat="1" ht="15.6">
      <c r="B194" s="49" t="s">
        <v>761</v>
      </c>
      <c r="D194" s="13"/>
      <c r="F194" s="42" t="s">
        <v>762</v>
      </c>
      <c r="G194" s="61" t="s">
        <v>763</v>
      </c>
    </row>
    <row r="195" spans="2:7" s="14" customFormat="1" ht="15.6">
      <c r="B195" s="49" t="s">
        <v>764</v>
      </c>
      <c r="D195" s="13"/>
      <c r="F195" s="42" t="s">
        <v>765</v>
      </c>
      <c r="G195" s="61" t="s">
        <v>766</v>
      </c>
    </row>
    <row r="196" spans="2:7" s="14" customFormat="1" ht="15.6">
      <c r="B196" s="49" t="s">
        <v>767</v>
      </c>
      <c r="D196" s="13"/>
      <c r="F196" s="42" t="s">
        <v>768</v>
      </c>
      <c r="G196" s="61" t="s">
        <v>769</v>
      </c>
    </row>
    <row r="197" spans="2:7" s="14" customFormat="1" ht="15.6">
      <c r="B197" s="49" t="s">
        <v>770</v>
      </c>
      <c r="D197" s="13"/>
      <c r="F197" s="42" t="s">
        <v>771</v>
      </c>
      <c r="G197" s="61" t="s">
        <v>772</v>
      </c>
    </row>
    <row r="198" spans="2:7" s="14" customFormat="1" ht="15.6">
      <c r="B198" s="49" t="s">
        <v>773</v>
      </c>
      <c r="D198" s="13"/>
      <c r="F198" s="42" t="s">
        <v>774</v>
      </c>
      <c r="G198" s="61" t="s">
        <v>775</v>
      </c>
    </row>
    <row r="199" spans="2:7" s="14" customFormat="1" ht="15.6">
      <c r="B199" s="49" t="s">
        <v>776</v>
      </c>
      <c r="D199" s="13"/>
      <c r="F199" s="42" t="s">
        <v>777</v>
      </c>
      <c r="G199" s="61" t="s">
        <v>778</v>
      </c>
    </row>
    <row r="200" spans="2:7" s="14" customFormat="1" ht="15.6">
      <c r="B200" s="49" t="s">
        <v>779</v>
      </c>
      <c r="D200" s="13"/>
      <c r="F200" s="42" t="s">
        <v>780</v>
      </c>
      <c r="G200" s="61" t="s">
        <v>781</v>
      </c>
    </row>
    <row r="201" spans="2:7" s="14" customFormat="1" ht="15.6">
      <c r="B201" s="49" t="s">
        <v>782</v>
      </c>
      <c r="D201" s="13"/>
      <c r="F201" s="42" t="s">
        <v>783</v>
      </c>
      <c r="G201" s="61" t="s">
        <v>784</v>
      </c>
    </row>
    <row r="202" spans="2:7" s="14" customFormat="1" ht="15.6">
      <c r="B202" s="49" t="s">
        <v>785</v>
      </c>
      <c r="D202" s="13"/>
      <c r="F202" s="42" t="s">
        <v>786</v>
      </c>
      <c r="G202" s="61" t="s">
        <v>787</v>
      </c>
    </row>
    <row r="203" spans="2:7" s="14" customFormat="1" ht="15.6">
      <c r="B203" s="49" t="s">
        <v>788</v>
      </c>
      <c r="D203" s="13"/>
      <c r="F203" s="42" t="s">
        <v>789</v>
      </c>
      <c r="G203" s="61" t="s">
        <v>790</v>
      </c>
    </row>
    <row r="204" spans="2:7" s="14" customFormat="1" ht="15.6">
      <c r="B204" s="49" t="s">
        <v>791</v>
      </c>
      <c r="D204" s="13"/>
      <c r="F204" s="42" t="s">
        <v>792</v>
      </c>
      <c r="G204" s="61" t="s">
        <v>793</v>
      </c>
    </row>
    <row r="205" spans="2:7" s="14" customFormat="1" ht="15.6">
      <c r="B205" s="49" t="s">
        <v>794</v>
      </c>
      <c r="D205" s="13"/>
      <c r="F205" s="42" t="s">
        <v>795</v>
      </c>
      <c r="G205" s="61" t="s">
        <v>796</v>
      </c>
    </row>
    <row r="206" spans="2:7" s="14" customFormat="1" ht="15.6">
      <c r="B206" s="49" t="s">
        <v>797</v>
      </c>
      <c r="D206" s="13"/>
      <c r="F206" s="42" t="s">
        <v>798</v>
      </c>
      <c r="G206" s="61" t="s">
        <v>799</v>
      </c>
    </row>
    <row r="207" spans="2:7" s="14" customFormat="1" ht="15.6">
      <c r="B207" s="49" t="s">
        <v>800</v>
      </c>
      <c r="D207" s="13"/>
      <c r="F207" s="42" t="s">
        <v>801</v>
      </c>
      <c r="G207" s="61" t="s">
        <v>802</v>
      </c>
    </row>
    <row r="208" spans="2:7" s="14" customFormat="1" ht="15.6">
      <c r="B208" s="49" t="s">
        <v>803</v>
      </c>
      <c r="D208" s="13"/>
      <c r="F208" s="42" t="s">
        <v>804</v>
      </c>
      <c r="G208" s="61" t="s">
        <v>805</v>
      </c>
    </row>
    <row r="209" spans="2:7" s="14" customFormat="1" ht="15.6">
      <c r="B209" s="49" t="s">
        <v>806</v>
      </c>
      <c r="D209" s="13"/>
      <c r="F209" s="42" t="s">
        <v>807</v>
      </c>
      <c r="G209" s="61" t="s">
        <v>808</v>
      </c>
    </row>
    <row r="210" spans="2:7" s="14" customFormat="1" ht="15.6">
      <c r="B210" s="49" t="s">
        <v>809</v>
      </c>
      <c r="D210" s="13"/>
      <c r="F210" s="42" t="s">
        <v>810</v>
      </c>
      <c r="G210" s="61" t="s">
        <v>811</v>
      </c>
    </row>
    <row r="211" spans="2:7" s="14" customFormat="1" ht="15.6">
      <c r="B211" s="49" t="s">
        <v>812</v>
      </c>
      <c r="D211" s="13"/>
      <c r="F211" s="42" t="s">
        <v>813</v>
      </c>
      <c r="G211" s="61" t="s">
        <v>814</v>
      </c>
    </row>
    <row r="212" spans="2:7" s="14" customFormat="1" ht="15.6">
      <c r="B212" s="49" t="s">
        <v>815</v>
      </c>
      <c r="D212" s="13"/>
      <c r="F212" s="42" t="s">
        <v>816</v>
      </c>
      <c r="G212" s="61" t="s">
        <v>817</v>
      </c>
    </row>
    <row r="213" spans="2:7" s="14" customFormat="1" ht="15.6">
      <c r="B213" s="49" t="s">
        <v>818</v>
      </c>
      <c r="D213" s="13"/>
      <c r="F213" s="42" t="s">
        <v>819</v>
      </c>
      <c r="G213" s="61" t="s">
        <v>820</v>
      </c>
    </row>
    <row r="214" spans="2:7" s="14" customFormat="1" ht="15.6">
      <c r="B214" s="49" t="s">
        <v>821</v>
      </c>
      <c r="D214" s="13"/>
      <c r="F214" s="42" t="s">
        <v>822</v>
      </c>
      <c r="G214" s="61" t="s">
        <v>823</v>
      </c>
    </row>
    <row r="215" spans="2:7" s="14" customFormat="1" ht="15.6">
      <c r="B215" s="49" t="s">
        <v>824</v>
      </c>
      <c r="D215" s="13"/>
      <c r="F215" s="42" t="s">
        <v>825</v>
      </c>
      <c r="G215" s="61" t="s">
        <v>826</v>
      </c>
    </row>
    <row r="216" spans="2:7" s="14" customFormat="1" ht="15.6">
      <c r="B216" s="49" t="s">
        <v>827</v>
      </c>
      <c r="D216" s="13"/>
      <c r="F216" s="42" t="s">
        <v>828</v>
      </c>
      <c r="G216" s="61" t="s">
        <v>829</v>
      </c>
    </row>
    <row r="217" spans="2:7" s="14" customFormat="1" ht="15.6">
      <c r="B217" s="49" t="s">
        <v>830</v>
      </c>
      <c r="D217" s="13"/>
      <c r="F217" s="42" t="s">
        <v>831</v>
      </c>
      <c r="G217" s="61" t="s">
        <v>832</v>
      </c>
    </row>
    <row r="218" spans="2:7" s="14" customFormat="1" ht="15.6">
      <c r="B218" s="49" t="s">
        <v>833</v>
      </c>
      <c r="D218" s="13"/>
      <c r="F218" s="42" t="s">
        <v>834</v>
      </c>
      <c r="G218" s="61" t="s">
        <v>835</v>
      </c>
    </row>
    <row r="219" spans="2:7" s="14" customFormat="1" ht="15.6">
      <c r="B219" s="49" t="s">
        <v>836</v>
      </c>
      <c r="D219" s="13"/>
      <c r="F219" s="42" t="s">
        <v>837</v>
      </c>
      <c r="G219" s="61" t="s">
        <v>838</v>
      </c>
    </row>
    <row r="220" spans="2:7" s="14" customFormat="1" ht="15.6">
      <c r="B220" s="49" t="s">
        <v>839</v>
      </c>
      <c r="D220" s="13"/>
      <c r="F220" s="42" t="s">
        <v>840</v>
      </c>
      <c r="G220" s="61" t="s">
        <v>841</v>
      </c>
    </row>
    <row r="221" spans="2:7" s="14" customFormat="1" ht="15.6">
      <c r="B221" s="49" t="s">
        <v>842</v>
      </c>
      <c r="D221" s="13"/>
      <c r="F221" s="42" t="s">
        <v>843</v>
      </c>
      <c r="G221" s="61" t="s">
        <v>844</v>
      </c>
    </row>
    <row r="222" spans="2:7" s="14" customFormat="1" ht="15.6">
      <c r="B222" s="49" t="s">
        <v>845</v>
      </c>
      <c r="D222" s="13"/>
      <c r="F222" s="42" t="s">
        <v>846</v>
      </c>
      <c r="G222" s="61" t="s">
        <v>847</v>
      </c>
    </row>
    <row r="223" spans="2:7" s="14" customFormat="1" ht="15.6">
      <c r="B223" s="49" t="s">
        <v>848</v>
      </c>
      <c r="D223" s="13"/>
      <c r="F223" s="42" t="s">
        <v>849</v>
      </c>
      <c r="G223" s="61" t="s">
        <v>850</v>
      </c>
    </row>
    <row r="224" spans="2:7" s="14" customFormat="1" ht="15.6">
      <c r="B224" s="49" t="s">
        <v>851</v>
      </c>
      <c r="D224" s="13"/>
      <c r="F224" s="42" t="s">
        <v>852</v>
      </c>
      <c r="G224" s="61" t="s">
        <v>853</v>
      </c>
    </row>
    <row r="225" spans="2:7" s="14" customFormat="1" ht="15.6">
      <c r="B225" s="49" t="s">
        <v>854</v>
      </c>
      <c r="D225" s="13"/>
      <c r="F225" s="42" t="s">
        <v>855</v>
      </c>
      <c r="G225" s="61" t="s">
        <v>856</v>
      </c>
    </row>
    <row r="226" spans="2:7" s="14" customFormat="1" ht="15.6">
      <c r="B226" s="49" t="s">
        <v>857</v>
      </c>
      <c r="D226" s="13"/>
      <c r="F226" s="42" t="s">
        <v>858</v>
      </c>
      <c r="G226" s="61" t="s">
        <v>859</v>
      </c>
    </row>
    <row r="227" spans="2:7" s="14" customFormat="1" ht="15.6">
      <c r="B227" s="49" t="s">
        <v>860</v>
      </c>
      <c r="D227" s="13"/>
      <c r="F227" s="42" t="s">
        <v>861</v>
      </c>
      <c r="G227" s="61" t="s">
        <v>862</v>
      </c>
    </row>
    <row r="228" spans="2:7" s="14" customFormat="1" ht="15.6">
      <c r="B228" s="49" t="s">
        <v>863</v>
      </c>
      <c r="D228" s="13"/>
      <c r="F228" s="42" t="s">
        <v>864</v>
      </c>
      <c r="G228" s="61" t="s">
        <v>865</v>
      </c>
    </row>
    <row r="229" spans="2:7" s="14" customFormat="1" ht="15.6">
      <c r="B229" s="49" t="s">
        <v>866</v>
      </c>
      <c r="D229" s="13"/>
      <c r="F229" s="42" t="s">
        <v>867</v>
      </c>
      <c r="G229" s="61" t="s">
        <v>868</v>
      </c>
    </row>
    <row r="230" spans="2:7" s="14" customFormat="1" ht="15.6">
      <c r="B230" s="49" t="s">
        <v>869</v>
      </c>
      <c r="D230" s="13"/>
      <c r="F230" s="42" t="s">
        <v>870</v>
      </c>
      <c r="G230" s="61" t="s">
        <v>871</v>
      </c>
    </row>
    <row r="231" spans="2:7" s="14" customFormat="1" ht="15.6">
      <c r="B231" s="49" t="s">
        <v>872</v>
      </c>
      <c r="D231" s="13"/>
      <c r="F231" s="42" t="s">
        <v>873</v>
      </c>
      <c r="G231" s="61" t="s">
        <v>874</v>
      </c>
    </row>
    <row r="232" spans="2:7" s="14" customFormat="1" ht="15.6">
      <c r="B232" s="49" t="s">
        <v>875</v>
      </c>
      <c r="D232" s="13"/>
      <c r="F232" s="43" t="s">
        <v>876</v>
      </c>
      <c r="G232" s="61" t="s">
        <v>877</v>
      </c>
    </row>
    <row r="233" spans="2:7" s="14" customFormat="1" ht="15.6">
      <c r="B233" s="49" t="s">
        <v>13</v>
      </c>
      <c r="D233" s="13"/>
      <c r="F233" s="14" t="s">
        <v>878</v>
      </c>
      <c r="G233" s="61" t="s">
        <v>879</v>
      </c>
    </row>
    <row r="234" spans="2:7" s="14" customFormat="1" ht="15.6">
      <c r="B234" s="49" t="s">
        <v>880</v>
      </c>
      <c r="D234" s="13"/>
      <c r="G234" s="61" t="s">
        <v>881</v>
      </c>
    </row>
    <row r="235" spans="2:7" s="14" customFormat="1" ht="15.6">
      <c r="B235" s="49" t="s">
        <v>882</v>
      </c>
      <c r="D235" s="13"/>
      <c r="G235" s="61" t="s">
        <v>883</v>
      </c>
    </row>
    <row r="236" spans="2:7" s="14" customFormat="1" ht="15.6">
      <c r="B236" s="49" t="s">
        <v>884</v>
      </c>
      <c r="D236" s="13"/>
      <c r="G236" s="61" t="s">
        <v>885</v>
      </c>
    </row>
    <row r="237" spans="2:7" s="14" customFormat="1" ht="15.6">
      <c r="B237" s="49" t="s">
        <v>886</v>
      </c>
      <c r="D237" s="13"/>
      <c r="G237" s="61" t="s">
        <v>887</v>
      </c>
    </row>
    <row r="238" spans="2:7" s="14" customFormat="1" ht="15.6">
      <c r="B238" s="49" t="s">
        <v>888</v>
      </c>
      <c r="D238" s="13"/>
      <c r="G238" s="61" t="s">
        <v>889</v>
      </c>
    </row>
    <row r="239" spans="2:7" s="14" customFormat="1" ht="15.6">
      <c r="B239" s="49" t="s">
        <v>890</v>
      </c>
      <c r="D239" s="13"/>
      <c r="G239" s="61" t="s">
        <v>891</v>
      </c>
    </row>
    <row r="240" spans="2:7" s="14" customFormat="1" ht="15.6">
      <c r="B240" s="49" t="s">
        <v>892</v>
      </c>
      <c r="D240" s="13"/>
      <c r="G240" s="61" t="s">
        <v>893</v>
      </c>
    </row>
    <row r="241" spans="2:7" s="14" customFormat="1" ht="15.6">
      <c r="B241" s="49" t="s">
        <v>894</v>
      </c>
      <c r="D241" s="13"/>
      <c r="G241" s="61" t="s">
        <v>895</v>
      </c>
    </row>
    <row r="242" spans="2:7" s="14" customFormat="1" ht="15.6">
      <c r="B242" s="49" t="s">
        <v>896</v>
      </c>
      <c r="D242" s="13"/>
      <c r="G242" s="61" t="s">
        <v>897</v>
      </c>
    </row>
    <row r="243" spans="2:7" s="14" customFormat="1" ht="15.6">
      <c r="B243" s="49" t="s">
        <v>898</v>
      </c>
      <c r="D243" s="13"/>
      <c r="G243" s="61" t="s">
        <v>899</v>
      </c>
    </row>
    <row r="244" spans="2:7" s="14" customFormat="1" ht="15.6">
      <c r="B244" s="49" t="s">
        <v>900</v>
      </c>
      <c r="D244" s="13"/>
      <c r="G244" s="61" t="s">
        <v>901</v>
      </c>
    </row>
    <row r="245" spans="2:7" s="14" customFormat="1" ht="15.6">
      <c r="B245" s="49" t="s">
        <v>902</v>
      </c>
      <c r="D245" s="13"/>
      <c r="G245" s="61" t="s">
        <v>903</v>
      </c>
    </row>
    <row r="246" spans="2:7" s="14" customFormat="1" ht="15.6">
      <c r="B246" s="49" t="s">
        <v>904</v>
      </c>
      <c r="D246" s="13"/>
      <c r="G246" s="61" t="s">
        <v>905</v>
      </c>
    </row>
    <row r="247" spans="2:7" s="14" customFormat="1" ht="15.6">
      <c r="B247" s="49" t="s">
        <v>906</v>
      </c>
      <c r="D247" s="13"/>
      <c r="G247" s="61" t="s">
        <v>907</v>
      </c>
    </row>
    <row r="248" spans="2:7" s="14" customFormat="1" ht="15.6">
      <c r="B248" s="49" t="s">
        <v>908</v>
      </c>
      <c r="D248" s="13"/>
      <c r="G248" s="61" t="s">
        <v>909</v>
      </c>
    </row>
    <row r="249" spans="2:7" s="14" customFormat="1" ht="15.6">
      <c r="B249" s="49" t="s">
        <v>910</v>
      </c>
      <c r="D249" s="13"/>
      <c r="G249" s="61" t="s">
        <v>911</v>
      </c>
    </row>
    <row r="250" spans="2:7" s="14" customFormat="1" ht="15.6">
      <c r="B250" s="49" t="s">
        <v>912</v>
      </c>
      <c r="D250" s="13"/>
      <c r="G250" s="61" t="s">
        <v>913</v>
      </c>
    </row>
    <row r="251" spans="2:7" s="14" customFormat="1" ht="15.6">
      <c r="B251" s="49" t="s">
        <v>914</v>
      </c>
      <c r="D251" s="13"/>
      <c r="G251" s="61" t="s">
        <v>915</v>
      </c>
    </row>
    <row r="252" spans="2:7" s="14" customFormat="1" ht="15.6">
      <c r="B252" s="49" t="s">
        <v>916</v>
      </c>
      <c r="D252" s="13"/>
      <c r="G252" s="61" t="s">
        <v>917</v>
      </c>
    </row>
    <row r="253" spans="2:7" s="14" customFormat="1" ht="15.6">
      <c r="B253" s="49" t="s">
        <v>918</v>
      </c>
      <c r="D253" s="13"/>
      <c r="G253" s="61" t="s">
        <v>919</v>
      </c>
    </row>
    <row r="254" spans="2:7" s="14" customFormat="1" ht="15.6">
      <c r="B254" s="49" t="s">
        <v>920</v>
      </c>
      <c r="D254" s="13"/>
      <c r="G254" s="61" t="s">
        <v>921</v>
      </c>
    </row>
    <row r="255" spans="2:7" s="14" customFormat="1" ht="15.6">
      <c r="B255" s="49" t="s">
        <v>922</v>
      </c>
      <c r="D255" s="13"/>
      <c r="G255" s="61" t="s">
        <v>923</v>
      </c>
    </row>
    <row r="256" spans="2:7" s="14" customFormat="1" ht="15.6">
      <c r="B256" s="49" t="s">
        <v>924</v>
      </c>
      <c r="D256" s="13"/>
      <c r="G256" s="61" t="s">
        <v>925</v>
      </c>
    </row>
    <row r="257" spans="2:7" s="14" customFormat="1" ht="15.6">
      <c r="B257" s="49" t="s">
        <v>926</v>
      </c>
      <c r="D257" s="13"/>
      <c r="G257" s="61" t="s">
        <v>927</v>
      </c>
    </row>
    <row r="258" spans="2:7" s="14" customFormat="1" ht="15.6">
      <c r="B258" s="49" t="s">
        <v>928</v>
      </c>
      <c r="D258" s="13"/>
      <c r="G258" s="61" t="s">
        <v>929</v>
      </c>
    </row>
    <row r="259" spans="2:7" s="14" customFormat="1" ht="15.6">
      <c r="B259" s="49" t="s">
        <v>930</v>
      </c>
      <c r="D259" s="13"/>
      <c r="G259" s="61" t="s">
        <v>931</v>
      </c>
    </row>
    <row r="260" spans="2:7" s="14" customFormat="1" ht="15.6">
      <c r="B260" s="49" t="s">
        <v>932</v>
      </c>
      <c r="D260" s="13"/>
      <c r="G260" s="61" t="s">
        <v>933</v>
      </c>
    </row>
    <row r="261" spans="2:7" s="14" customFormat="1" ht="15.6">
      <c r="B261" s="49" t="s">
        <v>934</v>
      </c>
      <c r="D261" s="13"/>
      <c r="G261" s="61" t="s">
        <v>935</v>
      </c>
    </row>
    <row r="262" spans="2:7" s="14" customFormat="1" ht="15.6">
      <c r="B262" s="49" t="s">
        <v>936</v>
      </c>
      <c r="D262" s="13"/>
      <c r="G262" s="61" t="s">
        <v>937</v>
      </c>
    </row>
    <row r="263" spans="2:7" s="14" customFormat="1" ht="15.6">
      <c r="B263" s="49" t="s">
        <v>938</v>
      </c>
      <c r="D263" s="13"/>
      <c r="G263" s="61" t="s">
        <v>939</v>
      </c>
    </row>
    <row r="264" spans="2:7" s="14" customFormat="1" ht="15.6">
      <c r="B264" s="49" t="s">
        <v>940</v>
      </c>
      <c r="D264" s="13"/>
      <c r="G264" s="61" t="s">
        <v>941</v>
      </c>
    </row>
    <row r="265" spans="2:7" s="14" customFormat="1" ht="15.6">
      <c r="B265" s="49" t="s">
        <v>942</v>
      </c>
      <c r="D265" s="13"/>
      <c r="G265" s="61" t="s">
        <v>943</v>
      </c>
    </row>
    <row r="266" spans="2:7" s="14" customFormat="1" ht="15.6">
      <c r="B266" s="49" t="s">
        <v>944</v>
      </c>
      <c r="D266" s="13"/>
      <c r="G266" s="61" t="s">
        <v>945</v>
      </c>
    </row>
    <row r="267" spans="2:7" s="14" customFormat="1" ht="15.6">
      <c r="B267" s="49" t="s">
        <v>946</v>
      </c>
      <c r="D267" s="13"/>
      <c r="G267" s="61" t="s">
        <v>947</v>
      </c>
    </row>
    <row r="268" spans="2:7" s="14" customFormat="1" ht="15.6">
      <c r="B268" s="49" t="s">
        <v>948</v>
      </c>
      <c r="D268" s="13"/>
      <c r="G268" s="61" t="s">
        <v>949</v>
      </c>
    </row>
    <row r="269" spans="2:7" s="14" customFormat="1" ht="15.6">
      <c r="B269" s="49" t="s">
        <v>950</v>
      </c>
      <c r="D269" s="13"/>
      <c r="G269" s="61" t="s">
        <v>951</v>
      </c>
    </row>
    <row r="270" spans="2:7" s="14" customFormat="1" ht="15.6">
      <c r="B270" s="49" t="s">
        <v>952</v>
      </c>
      <c r="D270" s="13"/>
      <c r="G270" s="61" t="s">
        <v>953</v>
      </c>
    </row>
    <row r="271" spans="2:7" s="14" customFormat="1" ht="15.6">
      <c r="B271" s="49" t="s">
        <v>954</v>
      </c>
      <c r="D271" s="13"/>
      <c r="G271" s="61" t="s">
        <v>955</v>
      </c>
    </row>
    <row r="272" spans="2:7" s="14" customFormat="1" ht="15.6">
      <c r="B272" s="49" t="s">
        <v>956</v>
      </c>
      <c r="D272" s="13"/>
      <c r="G272" s="61" t="s">
        <v>957</v>
      </c>
    </row>
    <row r="273" spans="2:7" s="14" customFormat="1" ht="15.6">
      <c r="B273" s="49" t="s">
        <v>958</v>
      </c>
      <c r="D273" s="13"/>
      <c r="G273" s="61" t="s">
        <v>959</v>
      </c>
    </row>
    <row r="274" spans="2:7" s="14" customFormat="1" ht="15.6">
      <c r="B274" s="49" t="s">
        <v>960</v>
      </c>
      <c r="D274" s="13"/>
      <c r="G274" s="61" t="s">
        <v>961</v>
      </c>
    </row>
    <row r="275" spans="2:7" s="14" customFormat="1" ht="15.6">
      <c r="B275" s="49" t="s">
        <v>962</v>
      </c>
      <c r="D275" s="13"/>
      <c r="G275" s="61" t="s">
        <v>963</v>
      </c>
    </row>
    <row r="276" spans="2:7" s="14" customFormat="1" ht="15.6">
      <c r="B276" s="49" t="s">
        <v>964</v>
      </c>
      <c r="D276" s="13"/>
      <c r="G276" s="61" t="s">
        <v>965</v>
      </c>
    </row>
    <row r="277" spans="2:7" s="14" customFormat="1" ht="15.6">
      <c r="B277" s="49" t="s">
        <v>966</v>
      </c>
      <c r="D277" s="13"/>
      <c r="G277" s="61" t="s">
        <v>967</v>
      </c>
    </row>
    <row r="278" spans="2:7" s="14" customFormat="1" ht="15.6">
      <c r="B278" s="49" t="s">
        <v>968</v>
      </c>
      <c r="D278" s="13"/>
      <c r="G278" s="61" t="s">
        <v>969</v>
      </c>
    </row>
    <row r="279" spans="2:7" s="14" customFormat="1" ht="15.6">
      <c r="B279" s="49" t="s">
        <v>970</v>
      </c>
      <c r="D279" s="13"/>
      <c r="G279" s="61" t="s">
        <v>971</v>
      </c>
    </row>
    <row r="280" spans="2:7" s="14" customFormat="1" ht="15.6">
      <c r="B280" s="49" t="s">
        <v>972</v>
      </c>
      <c r="D280" s="13"/>
      <c r="G280" s="61" t="s">
        <v>973</v>
      </c>
    </row>
    <row r="281" spans="2:7" s="14" customFormat="1" ht="15.6">
      <c r="B281" s="49" t="s">
        <v>974</v>
      </c>
      <c r="D281" s="13"/>
      <c r="G281" s="61" t="s">
        <v>975</v>
      </c>
    </row>
    <row r="282" spans="2:7" s="14" customFormat="1" ht="15.6">
      <c r="B282" s="49" t="s">
        <v>976</v>
      </c>
      <c r="D282" s="13"/>
      <c r="G282" s="61" t="s">
        <v>977</v>
      </c>
    </row>
    <row r="283" spans="2:7" s="14" customFormat="1" ht="15.6">
      <c r="B283" s="49" t="s">
        <v>978</v>
      </c>
      <c r="D283" s="13"/>
      <c r="G283" s="61" t="s">
        <v>979</v>
      </c>
    </row>
    <row r="284" spans="2:7" s="14" customFormat="1" ht="15.6">
      <c r="B284" s="49" t="s">
        <v>980</v>
      </c>
      <c r="D284" s="13"/>
      <c r="G284" s="61" t="s">
        <v>981</v>
      </c>
    </row>
    <row r="285" spans="2:7" s="14" customFormat="1" ht="15.6">
      <c r="B285" s="49" t="s">
        <v>982</v>
      </c>
      <c r="D285" s="13"/>
      <c r="G285" s="61" t="s">
        <v>983</v>
      </c>
    </row>
    <row r="286" spans="2:7" s="14" customFormat="1" ht="15.6">
      <c r="B286" s="49" t="s">
        <v>984</v>
      </c>
      <c r="D286" s="13"/>
      <c r="G286" s="61" t="s">
        <v>985</v>
      </c>
    </row>
    <row r="287" spans="2:7" s="14" customFormat="1" ht="15.6">
      <c r="B287" s="49" t="s">
        <v>986</v>
      </c>
      <c r="D287" s="13"/>
      <c r="G287" s="61" t="s">
        <v>987</v>
      </c>
    </row>
    <row r="288" spans="2:7" s="14" customFormat="1" ht="15.6">
      <c r="B288" s="49" t="s">
        <v>988</v>
      </c>
      <c r="D288" s="13"/>
      <c r="G288" s="61" t="s">
        <v>989</v>
      </c>
    </row>
    <row r="289" spans="2:7" s="14" customFormat="1" ht="15.6">
      <c r="B289" s="49" t="s">
        <v>990</v>
      </c>
      <c r="D289" s="13"/>
      <c r="G289" s="61" t="s">
        <v>991</v>
      </c>
    </row>
    <row r="290" spans="2:7" s="14" customFormat="1" ht="15.6">
      <c r="B290" s="49" t="s">
        <v>992</v>
      </c>
      <c r="D290" s="13"/>
      <c r="G290" s="61" t="s">
        <v>993</v>
      </c>
    </row>
    <row r="291" spans="2:7" s="14" customFormat="1" ht="15.6">
      <c r="B291" s="49" t="s">
        <v>994</v>
      </c>
      <c r="D291" s="13"/>
      <c r="G291" s="61" t="s">
        <v>995</v>
      </c>
    </row>
    <row r="292" spans="2:7" s="14" customFormat="1" ht="15.6">
      <c r="B292" s="49" t="s">
        <v>996</v>
      </c>
      <c r="D292" s="13"/>
      <c r="G292" s="61" t="s">
        <v>997</v>
      </c>
    </row>
    <row r="293" spans="2:7" s="14" customFormat="1" ht="15.6">
      <c r="B293" s="49" t="s">
        <v>998</v>
      </c>
      <c r="D293" s="13"/>
      <c r="G293" s="61" t="s">
        <v>999</v>
      </c>
    </row>
    <row r="294" spans="2:7" s="14" customFormat="1" ht="15.6">
      <c r="B294" s="49" t="s">
        <v>1000</v>
      </c>
      <c r="D294" s="13"/>
      <c r="G294" s="61" t="s">
        <v>1001</v>
      </c>
    </row>
    <row r="295" spans="2:7" s="14" customFormat="1" ht="15.6">
      <c r="B295" s="49" t="s">
        <v>1002</v>
      </c>
      <c r="D295" s="13"/>
      <c r="G295" s="61" t="s">
        <v>1003</v>
      </c>
    </row>
    <row r="296" spans="2:7" s="14" customFormat="1" ht="15.6">
      <c r="B296" s="49" t="s">
        <v>1004</v>
      </c>
      <c r="D296" s="13"/>
      <c r="G296" s="61" t="s">
        <v>1005</v>
      </c>
    </row>
    <row r="297" spans="2:7" s="14" customFormat="1" ht="15.6">
      <c r="B297" s="49" t="s">
        <v>1006</v>
      </c>
      <c r="D297" s="13"/>
      <c r="G297" s="61" t="s">
        <v>1007</v>
      </c>
    </row>
    <row r="298" spans="2:7" s="14" customFormat="1" ht="15.6">
      <c r="B298" s="49" t="s">
        <v>1008</v>
      </c>
      <c r="D298" s="13"/>
      <c r="G298" s="61" t="s">
        <v>1009</v>
      </c>
    </row>
    <row r="299" spans="2:7" s="14" customFormat="1" ht="15.6">
      <c r="B299" s="49" t="s">
        <v>1010</v>
      </c>
      <c r="D299" s="13"/>
      <c r="G299" s="61" t="s">
        <v>1011</v>
      </c>
    </row>
    <row r="300" spans="2:7" s="14" customFormat="1" ht="15.6">
      <c r="B300" s="49" t="s">
        <v>1012</v>
      </c>
      <c r="D300" s="13"/>
      <c r="G300" s="61" t="s">
        <v>1013</v>
      </c>
    </row>
    <row r="301" spans="2:7" s="14" customFormat="1" ht="15.6">
      <c r="B301" s="49" t="s">
        <v>1014</v>
      </c>
      <c r="D301" s="13"/>
      <c r="G301" s="61" t="s">
        <v>1015</v>
      </c>
    </row>
    <row r="302" spans="2:7" s="14" customFormat="1" ht="15.6">
      <c r="B302" s="49" t="s">
        <v>1016</v>
      </c>
      <c r="D302" s="13"/>
      <c r="G302" s="61" t="s">
        <v>1017</v>
      </c>
    </row>
    <row r="303" spans="2:7" s="14" customFormat="1" ht="15.6">
      <c r="B303" s="49" t="s">
        <v>1018</v>
      </c>
      <c r="D303" s="13"/>
      <c r="G303" s="61" t="s">
        <v>1019</v>
      </c>
    </row>
    <row r="304" spans="2:7" s="14" customFormat="1" ht="15.6">
      <c r="B304" s="49" t="s">
        <v>1020</v>
      </c>
      <c r="D304" s="13"/>
      <c r="G304" s="61" t="s">
        <v>1021</v>
      </c>
    </row>
    <row r="305" spans="2:7" s="14" customFormat="1" ht="15.6">
      <c r="B305" s="49" t="s">
        <v>1022</v>
      </c>
      <c r="D305" s="13"/>
      <c r="G305" s="61" t="s">
        <v>1023</v>
      </c>
    </row>
    <row r="306" spans="2:7" s="14" customFormat="1" ht="15.6">
      <c r="B306" s="49" t="s">
        <v>1024</v>
      </c>
      <c r="D306" s="13"/>
      <c r="G306" s="61" t="s">
        <v>1025</v>
      </c>
    </row>
    <row r="307" spans="2:7" s="14" customFormat="1" ht="15.6">
      <c r="B307" s="49" t="s">
        <v>1026</v>
      </c>
      <c r="D307" s="13"/>
      <c r="G307" s="61" t="s">
        <v>1027</v>
      </c>
    </row>
    <row r="308" spans="2:7" s="14" customFormat="1" ht="15.6">
      <c r="B308" s="49" t="s">
        <v>1028</v>
      </c>
      <c r="D308" s="13"/>
      <c r="G308" s="61" t="s">
        <v>1029</v>
      </c>
    </row>
    <row r="309" spans="2:7" s="14" customFormat="1" ht="15.6">
      <c r="B309" s="49" t="s">
        <v>1030</v>
      </c>
      <c r="D309" s="13"/>
      <c r="G309" s="61" t="s">
        <v>1031</v>
      </c>
    </row>
    <row r="310" spans="2:7" s="14" customFormat="1" ht="15.6">
      <c r="B310" s="49" t="s">
        <v>1032</v>
      </c>
      <c r="D310" s="13"/>
      <c r="G310" s="61" t="s">
        <v>1033</v>
      </c>
    </row>
    <row r="311" spans="2:7" s="14" customFormat="1" ht="15.6">
      <c r="B311" s="49" t="s">
        <v>1034</v>
      </c>
      <c r="D311" s="13"/>
      <c r="G311" s="61" t="s">
        <v>1035</v>
      </c>
    </row>
    <row r="312" spans="2:7" s="14" customFormat="1" ht="15.6">
      <c r="B312" s="49" t="s">
        <v>1036</v>
      </c>
      <c r="D312" s="13"/>
      <c r="G312" s="61" t="s">
        <v>1037</v>
      </c>
    </row>
    <row r="313" spans="2:7" s="14" customFormat="1" ht="15.6">
      <c r="B313" s="49" t="s">
        <v>1038</v>
      </c>
      <c r="D313" s="13"/>
      <c r="G313" s="61" t="s">
        <v>1039</v>
      </c>
    </row>
    <row r="314" spans="2:7" s="14" customFormat="1" ht="15.6">
      <c r="B314" s="49" t="s">
        <v>1040</v>
      </c>
      <c r="D314" s="13"/>
      <c r="G314" s="61" t="s">
        <v>1041</v>
      </c>
    </row>
    <row r="315" spans="2:7" s="14" customFormat="1" ht="15.6">
      <c r="B315" s="49" t="s">
        <v>1042</v>
      </c>
      <c r="D315" s="13"/>
      <c r="G315" s="61" t="s">
        <v>1043</v>
      </c>
    </row>
    <row r="316" spans="2:7" s="14" customFormat="1" ht="15.6">
      <c r="B316" s="49" t="s">
        <v>1044</v>
      </c>
      <c r="D316" s="13"/>
      <c r="G316" s="61" t="s">
        <v>1045</v>
      </c>
    </row>
    <row r="317" spans="2:7" s="14" customFormat="1" ht="15.6">
      <c r="B317" s="49" t="s">
        <v>1046</v>
      </c>
      <c r="D317" s="13"/>
      <c r="G317" s="61" t="s">
        <v>1047</v>
      </c>
    </row>
    <row r="318" spans="2:7" s="14" customFormat="1" ht="15.6">
      <c r="B318" s="49" t="s">
        <v>1048</v>
      </c>
      <c r="D318" s="13"/>
      <c r="G318" s="61" t="s">
        <v>1049</v>
      </c>
    </row>
    <row r="319" spans="2:7" s="14" customFormat="1" ht="15.6">
      <c r="B319" s="49" t="s">
        <v>1050</v>
      </c>
      <c r="D319" s="13"/>
      <c r="G319" s="61" t="s">
        <v>1051</v>
      </c>
    </row>
    <row r="320" spans="2:7" s="14" customFormat="1" ht="15.6">
      <c r="B320" s="49" t="s">
        <v>1052</v>
      </c>
      <c r="D320" s="13"/>
      <c r="G320" s="61" t="s">
        <v>1053</v>
      </c>
    </row>
    <row r="321" spans="2:7" s="14" customFormat="1" ht="15.6">
      <c r="B321" s="49" t="s">
        <v>1054</v>
      </c>
      <c r="D321" s="13"/>
      <c r="G321" s="61" t="s">
        <v>1055</v>
      </c>
    </row>
    <row r="322" spans="2:7" s="14" customFormat="1" ht="15.6">
      <c r="B322" s="49" t="s">
        <v>1056</v>
      </c>
      <c r="D322" s="13"/>
      <c r="G322" s="61" t="s">
        <v>1057</v>
      </c>
    </row>
    <row r="323" spans="2:7" s="14" customFormat="1" ht="15.6">
      <c r="B323" s="49" t="s">
        <v>1058</v>
      </c>
      <c r="D323" s="13"/>
      <c r="G323" s="61" t="s">
        <v>1059</v>
      </c>
    </row>
    <row r="324" spans="2:7" s="14" customFormat="1" ht="15.6">
      <c r="B324" s="49" t="s">
        <v>1060</v>
      </c>
      <c r="D324" s="13"/>
      <c r="G324" s="61" t="s">
        <v>1061</v>
      </c>
    </row>
    <row r="325" spans="2:7" s="14" customFormat="1" ht="15.6">
      <c r="B325" s="49" t="s">
        <v>1062</v>
      </c>
      <c r="D325" s="13"/>
      <c r="G325" s="61" t="s">
        <v>1063</v>
      </c>
    </row>
    <row r="326" spans="2:7" s="14" customFormat="1" ht="15.6">
      <c r="B326" s="49" t="s">
        <v>1064</v>
      </c>
      <c r="D326" s="13"/>
      <c r="G326" s="61" t="s">
        <v>1065</v>
      </c>
    </row>
    <row r="327" spans="2:7" s="14" customFormat="1" ht="15.6">
      <c r="B327" s="49" t="s">
        <v>1066</v>
      </c>
      <c r="D327" s="13"/>
      <c r="G327" s="61" t="s">
        <v>1067</v>
      </c>
    </row>
    <row r="328" spans="2:7" s="14" customFormat="1" ht="15.6">
      <c r="B328" s="49" t="s">
        <v>1068</v>
      </c>
      <c r="D328" s="13"/>
      <c r="G328" s="61" t="s">
        <v>1069</v>
      </c>
    </row>
    <row r="329" spans="2:7" s="14" customFormat="1" ht="15.6">
      <c r="B329" s="49" t="s">
        <v>1070</v>
      </c>
      <c r="D329" s="13"/>
      <c r="G329" s="61" t="s">
        <v>1071</v>
      </c>
    </row>
    <row r="330" spans="2:7" s="14" customFormat="1" ht="15.6">
      <c r="B330" s="49" t="s">
        <v>1072</v>
      </c>
      <c r="D330" s="13"/>
      <c r="G330" s="61" t="s">
        <v>1073</v>
      </c>
    </row>
    <row r="331" spans="2:7" s="14" customFormat="1" ht="15.6">
      <c r="B331" s="49" t="s">
        <v>1074</v>
      </c>
      <c r="D331" s="13"/>
      <c r="G331" s="61" t="s">
        <v>1075</v>
      </c>
    </row>
    <row r="332" spans="2:7" s="14" customFormat="1" ht="15.6">
      <c r="B332" s="49" t="s">
        <v>1076</v>
      </c>
      <c r="D332" s="13"/>
      <c r="G332" s="61" t="s">
        <v>1077</v>
      </c>
    </row>
    <row r="333" spans="2:7" s="14" customFormat="1" ht="15.6">
      <c r="B333" s="49" t="s">
        <v>1078</v>
      </c>
      <c r="D333" s="13"/>
      <c r="G333" s="61" t="s">
        <v>1079</v>
      </c>
    </row>
    <row r="334" spans="2:7" s="14" customFormat="1" ht="15.6">
      <c r="B334" s="49" t="s">
        <v>1080</v>
      </c>
      <c r="D334" s="13"/>
      <c r="G334" s="61" t="s">
        <v>1081</v>
      </c>
    </row>
    <row r="335" spans="2:7" s="14" customFormat="1" ht="15.6">
      <c r="B335" s="49" t="s">
        <v>1082</v>
      </c>
      <c r="D335" s="13"/>
      <c r="G335" s="61" t="s">
        <v>1083</v>
      </c>
    </row>
    <row r="336" spans="2:7" s="14" customFormat="1" ht="15.6">
      <c r="B336" s="49" t="s">
        <v>1084</v>
      </c>
      <c r="D336" s="13"/>
      <c r="G336" s="61" t="s">
        <v>1085</v>
      </c>
    </row>
    <row r="337" spans="2:7" s="14" customFormat="1" ht="15.6">
      <c r="B337" s="49" t="s">
        <v>1086</v>
      </c>
      <c r="D337" s="13"/>
      <c r="G337" s="61" t="s">
        <v>1087</v>
      </c>
    </row>
    <row r="338" spans="2:7" s="14" customFormat="1" ht="15.6">
      <c r="B338" s="49" t="s">
        <v>1088</v>
      </c>
      <c r="D338" s="13"/>
      <c r="G338" s="61" t="s">
        <v>1089</v>
      </c>
    </row>
    <row r="339" spans="2:7" s="14" customFormat="1" ht="15.6">
      <c r="B339" s="49" t="s">
        <v>1090</v>
      </c>
      <c r="D339" s="13"/>
      <c r="G339" s="61" t="s">
        <v>1091</v>
      </c>
    </row>
    <row r="340" spans="2:7" s="14" customFormat="1" ht="15.6">
      <c r="B340" s="49" t="s">
        <v>1092</v>
      </c>
      <c r="D340" s="13"/>
      <c r="G340" s="61" t="s">
        <v>1093</v>
      </c>
    </row>
    <row r="341" spans="2:7" s="14" customFormat="1" ht="15.6">
      <c r="B341" s="49" t="s">
        <v>1094</v>
      </c>
      <c r="D341" s="13"/>
      <c r="G341" s="61" t="s">
        <v>1095</v>
      </c>
    </row>
    <row r="342" spans="2:7" s="14" customFormat="1" ht="15.6">
      <c r="B342" s="49" t="s">
        <v>1096</v>
      </c>
      <c r="D342" s="13"/>
      <c r="G342" s="61" t="s">
        <v>1097</v>
      </c>
    </row>
    <row r="343" spans="2:7" s="14" customFormat="1" ht="15.6">
      <c r="B343" s="49" t="s">
        <v>1098</v>
      </c>
      <c r="D343" s="13"/>
      <c r="G343" s="61" t="s">
        <v>1099</v>
      </c>
    </row>
    <row r="344" spans="2:7" s="14" customFormat="1" ht="15.6">
      <c r="B344" s="49" t="s">
        <v>1100</v>
      </c>
      <c r="D344" s="13"/>
      <c r="G344" s="61" t="s">
        <v>1101</v>
      </c>
    </row>
    <row r="345" spans="2:7" s="14" customFormat="1" ht="15.6">
      <c r="B345" s="49" t="s">
        <v>1102</v>
      </c>
      <c r="D345" s="13"/>
      <c r="G345" s="61" t="s">
        <v>1103</v>
      </c>
    </row>
    <row r="346" spans="2:7" s="14" customFormat="1" ht="15.6">
      <c r="B346" s="49" t="s">
        <v>1104</v>
      </c>
      <c r="D346" s="13"/>
      <c r="G346" s="61" t="s">
        <v>1105</v>
      </c>
    </row>
    <row r="347" spans="2:7" s="14" customFormat="1" ht="15.6">
      <c r="B347" s="49" t="s">
        <v>1106</v>
      </c>
      <c r="D347" s="13"/>
      <c r="G347" s="61" t="s">
        <v>1107</v>
      </c>
    </row>
    <row r="348" spans="2:7" s="14" customFormat="1" ht="15.6">
      <c r="B348" s="49" t="s">
        <v>1108</v>
      </c>
      <c r="D348" s="13"/>
      <c r="G348" s="61" t="s">
        <v>1109</v>
      </c>
    </row>
    <row r="349" spans="2:7" s="14" customFormat="1" ht="15.6">
      <c r="B349" s="49" t="s">
        <v>1110</v>
      </c>
      <c r="D349" s="13"/>
      <c r="G349" s="61" t="s">
        <v>1111</v>
      </c>
    </row>
    <row r="350" spans="2:7" s="14" customFormat="1" ht="15.6">
      <c r="B350" s="49" t="s">
        <v>1112</v>
      </c>
      <c r="D350" s="13"/>
      <c r="G350" s="61" t="s">
        <v>1113</v>
      </c>
    </row>
    <row r="351" spans="2:7" s="14" customFormat="1" ht="15.6">
      <c r="B351" s="49" t="s">
        <v>1114</v>
      </c>
      <c r="D351" s="13"/>
      <c r="G351" s="61" t="s">
        <v>1115</v>
      </c>
    </row>
    <row r="352" spans="2:7" s="14" customFormat="1" ht="15.6">
      <c r="B352" s="49" t="s">
        <v>1116</v>
      </c>
      <c r="D352" s="13"/>
      <c r="G352" s="61" t="s">
        <v>1117</v>
      </c>
    </row>
    <row r="353" spans="2:7" s="14" customFormat="1" ht="15.6">
      <c r="B353" s="49" t="s">
        <v>1118</v>
      </c>
      <c r="D353" s="13"/>
      <c r="G353" s="61" t="s">
        <v>1119</v>
      </c>
    </row>
    <row r="354" spans="2:7" s="14" customFormat="1" ht="15.6">
      <c r="B354" s="49" t="s">
        <v>1120</v>
      </c>
      <c r="D354" s="13"/>
      <c r="G354" s="61" t="s">
        <v>1121</v>
      </c>
    </row>
    <row r="355" spans="2:7" s="14" customFormat="1" ht="15.6">
      <c r="B355" s="49" t="s">
        <v>1122</v>
      </c>
      <c r="D355" s="13"/>
      <c r="G355" s="61" t="s">
        <v>1123</v>
      </c>
    </row>
    <row r="356" spans="2:7" s="14" customFormat="1" ht="15.6">
      <c r="B356" s="49" t="s">
        <v>1124</v>
      </c>
      <c r="D356" s="13"/>
      <c r="G356" s="61" t="s">
        <v>1125</v>
      </c>
    </row>
    <row r="357" spans="2:7" s="14" customFormat="1" ht="15.6">
      <c r="B357" s="49" t="s">
        <v>1126</v>
      </c>
      <c r="D357" s="13"/>
      <c r="G357" s="61" t="s">
        <v>1127</v>
      </c>
    </row>
    <row r="358" spans="2:7" s="14" customFormat="1" ht="15.6">
      <c r="B358" s="49" t="s">
        <v>1128</v>
      </c>
      <c r="D358" s="13"/>
      <c r="G358" s="61" t="s">
        <v>1129</v>
      </c>
    </row>
    <row r="359" spans="2:7" s="14" customFormat="1" ht="15.6">
      <c r="B359" s="49" t="s">
        <v>1130</v>
      </c>
      <c r="D359" s="13"/>
      <c r="G359" s="61" t="s">
        <v>1131</v>
      </c>
    </row>
    <row r="360" spans="2:7" s="14" customFormat="1" ht="15.6">
      <c r="B360" s="56" t="s">
        <v>1132</v>
      </c>
      <c r="D360" s="13"/>
      <c r="G360" s="62" t="s">
        <v>1133</v>
      </c>
    </row>
    <row r="361" spans="2:7">
      <c r="B361" s="57"/>
    </row>
    <row r="362" spans="2:7">
      <c r="B362" s="57"/>
    </row>
    <row r="363" spans="2:7">
      <c r="B363" s="57"/>
    </row>
    <row r="364" spans="2:7">
      <c r="B364" s="57"/>
    </row>
    <row r="365" spans="2:7">
      <c r="B365" s="57"/>
    </row>
    <row r="366" spans="2:7">
      <c r="B366" s="57"/>
    </row>
    <row r="367" spans="2:7">
      <c r="B367" s="57"/>
    </row>
    <row r="368" spans="2:7">
      <c r="B368" s="57"/>
    </row>
    <row r="369" spans="2:2">
      <c r="B369" s="57"/>
    </row>
    <row r="370" spans="2:2">
      <c r="B370" s="57"/>
    </row>
    <row r="371" spans="2:2">
      <c r="B371" s="57"/>
    </row>
    <row r="372" spans="2:2">
      <c r="B372" s="57"/>
    </row>
    <row r="373" spans="2:2">
      <c r="B373" s="57"/>
    </row>
    <row r="374" spans="2:2">
      <c r="B374" s="57"/>
    </row>
    <row r="375" spans="2:2">
      <c r="B375" s="57"/>
    </row>
    <row r="376" spans="2:2">
      <c r="B376" s="57"/>
    </row>
    <row r="377" spans="2:2">
      <c r="B377" s="57"/>
    </row>
    <row r="378" spans="2:2">
      <c r="B378" s="57"/>
    </row>
    <row r="379" spans="2:2">
      <c r="B379" s="57"/>
    </row>
    <row r="380" spans="2:2">
      <c r="B380" s="57"/>
    </row>
    <row r="381" spans="2:2">
      <c r="B381" s="57"/>
    </row>
    <row r="382" spans="2:2">
      <c r="B382" s="57"/>
    </row>
    <row r="383" spans="2:2">
      <c r="B383" s="57"/>
    </row>
    <row r="384" spans="2:2">
      <c r="B384" s="57"/>
    </row>
    <row r="385" spans="2:2">
      <c r="B385" s="57"/>
    </row>
    <row r="386" spans="2:2">
      <c r="B386" s="57"/>
    </row>
    <row r="387" spans="2:2">
      <c r="B387" s="57"/>
    </row>
    <row r="388" spans="2:2">
      <c r="B388" s="57"/>
    </row>
    <row r="389" spans="2:2">
      <c r="B389" s="57"/>
    </row>
    <row r="390" spans="2:2">
      <c r="B390" s="57"/>
    </row>
    <row r="391" spans="2:2">
      <c r="B391" s="57"/>
    </row>
    <row r="392" spans="2:2">
      <c r="B392" s="57"/>
    </row>
    <row r="393" spans="2:2">
      <c r="B393" s="57"/>
    </row>
    <row r="394" spans="2:2">
      <c r="B394" s="57"/>
    </row>
    <row r="395" spans="2:2">
      <c r="B395" s="57"/>
    </row>
    <row r="396" spans="2:2">
      <c r="B396" s="57"/>
    </row>
    <row r="397" spans="2:2">
      <c r="B397" s="57"/>
    </row>
    <row r="398" spans="2:2">
      <c r="B398" s="57"/>
    </row>
    <row r="399" spans="2:2">
      <c r="B399" s="57"/>
    </row>
    <row r="400" spans="2:2">
      <c r="B400" s="57"/>
    </row>
    <row r="401" spans="2:2">
      <c r="B401" s="57"/>
    </row>
    <row r="402" spans="2:2">
      <c r="B402" s="57"/>
    </row>
    <row r="403" spans="2:2">
      <c r="B403" s="57"/>
    </row>
    <row r="404" spans="2:2">
      <c r="B404" s="57"/>
    </row>
    <row r="405" spans="2:2">
      <c r="B405" s="57"/>
    </row>
    <row r="406" spans="2:2">
      <c r="B406" s="57"/>
    </row>
    <row r="407" spans="2:2">
      <c r="B407" s="57"/>
    </row>
    <row r="408" spans="2:2">
      <c r="B408" s="57"/>
    </row>
    <row r="409" spans="2:2">
      <c r="B409" s="57"/>
    </row>
    <row r="410" spans="2:2">
      <c r="B410" s="57"/>
    </row>
    <row r="411" spans="2:2">
      <c r="B411" s="57"/>
    </row>
    <row r="412" spans="2:2">
      <c r="B412" s="57"/>
    </row>
    <row r="413" spans="2:2">
      <c r="B413" s="57"/>
    </row>
    <row r="414" spans="2:2">
      <c r="B414" s="57"/>
    </row>
    <row r="415" spans="2:2">
      <c r="B415" s="57"/>
    </row>
    <row r="416" spans="2:2">
      <c r="B416" s="57"/>
    </row>
    <row r="417" spans="2:2">
      <c r="B417" s="57"/>
    </row>
    <row r="418" spans="2:2">
      <c r="B418" s="57"/>
    </row>
    <row r="419" spans="2:2">
      <c r="B419" s="57"/>
    </row>
    <row r="420" spans="2:2">
      <c r="B420" s="57"/>
    </row>
    <row r="421" spans="2:2">
      <c r="B421" s="57"/>
    </row>
    <row r="422" spans="2:2">
      <c r="B422" s="57"/>
    </row>
    <row r="423" spans="2:2">
      <c r="B423" s="57"/>
    </row>
    <row r="424" spans="2:2">
      <c r="B424" s="57"/>
    </row>
    <row r="425" spans="2:2">
      <c r="B425" s="57"/>
    </row>
    <row r="426" spans="2:2">
      <c r="B426" s="57"/>
    </row>
    <row r="427" spans="2:2">
      <c r="B427" s="57"/>
    </row>
    <row r="428" spans="2:2">
      <c r="B428" s="57"/>
    </row>
    <row r="429" spans="2:2">
      <c r="B429" s="57"/>
    </row>
    <row r="430" spans="2:2">
      <c r="B430" s="57"/>
    </row>
    <row r="431" spans="2:2">
      <c r="B431" s="57"/>
    </row>
    <row r="432" spans="2:2">
      <c r="B432" s="57"/>
    </row>
    <row r="433" spans="2:2">
      <c r="B433" s="57"/>
    </row>
    <row r="434" spans="2:2">
      <c r="B434" s="57"/>
    </row>
    <row r="435" spans="2:2">
      <c r="B435" s="57"/>
    </row>
    <row r="436" spans="2:2">
      <c r="B436" s="57"/>
    </row>
    <row r="437" spans="2:2">
      <c r="B437" s="57"/>
    </row>
    <row r="438" spans="2:2">
      <c r="B438" s="57"/>
    </row>
    <row r="439" spans="2:2">
      <c r="B439" s="57"/>
    </row>
    <row r="440" spans="2:2">
      <c r="B440" s="57"/>
    </row>
    <row r="441" spans="2:2">
      <c r="B441" s="57"/>
    </row>
    <row r="442" spans="2:2">
      <c r="B442" s="57"/>
    </row>
    <row r="443" spans="2:2">
      <c r="B443" s="57"/>
    </row>
    <row r="444" spans="2:2">
      <c r="B444" s="57"/>
    </row>
    <row r="445" spans="2:2">
      <c r="B445" s="57"/>
    </row>
    <row r="446" spans="2:2">
      <c r="B446" s="57"/>
    </row>
    <row r="447" spans="2:2">
      <c r="B447" s="57"/>
    </row>
    <row r="448" spans="2:2">
      <c r="B448" s="57"/>
    </row>
    <row r="449" spans="2:2">
      <c r="B449" s="57"/>
    </row>
    <row r="450" spans="2:2">
      <c r="B450" s="57"/>
    </row>
    <row r="451" spans="2:2">
      <c r="B451" s="57"/>
    </row>
    <row r="452" spans="2:2">
      <c r="B452" s="57"/>
    </row>
    <row r="453" spans="2:2">
      <c r="B453" s="57"/>
    </row>
    <row r="454" spans="2:2">
      <c r="B454" s="57"/>
    </row>
    <row r="455" spans="2:2">
      <c r="B455" s="57"/>
    </row>
    <row r="456" spans="2:2">
      <c r="B456" s="57"/>
    </row>
    <row r="457" spans="2:2">
      <c r="B457" s="57"/>
    </row>
    <row r="458" spans="2:2">
      <c r="B458" s="57"/>
    </row>
    <row r="459" spans="2:2">
      <c r="B459" s="57"/>
    </row>
    <row r="460" spans="2:2">
      <c r="B460" s="57"/>
    </row>
    <row r="461" spans="2:2">
      <c r="B461" s="57"/>
    </row>
    <row r="462" spans="2:2">
      <c r="B462" s="57"/>
    </row>
    <row r="463" spans="2:2">
      <c r="B463" s="57"/>
    </row>
    <row r="464" spans="2:2">
      <c r="B464" s="57"/>
    </row>
    <row r="465" spans="2:2">
      <c r="B465" s="57"/>
    </row>
    <row r="466" spans="2:2">
      <c r="B466" s="57"/>
    </row>
    <row r="467" spans="2:2">
      <c r="B467" s="57"/>
    </row>
    <row r="468" spans="2:2">
      <c r="B468" s="57"/>
    </row>
    <row r="469" spans="2:2">
      <c r="B469" s="57"/>
    </row>
    <row r="470" spans="2:2">
      <c r="B470" s="57"/>
    </row>
    <row r="471" spans="2:2">
      <c r="B471" s="57"/>
    </row>
    <row r="472" spans="2:2">
      <c r="B472" s="57"/>
    </row>
    <row r="473" spans="2:2">
      <c r="B473" s="57"/>
    </row>
    <row r="474" spans="2:2">
      <c r="B474" s="57"/>
    </row>
    <row r="475" spans="2:2">
      <c r="B475" s="57"/>
    </row>
    <row r="476" spans="2:2">
      <c r="B476" s="57"/>
    </row>
    <row r="477" spans="2:2">
      <c r="B477" s="57"/>
    </row>
    <row r="478" spans="2:2">
      <c r="B478" s="57"/>
    </row>
    <row r="479" spans="2:2">
      <c r="B479" s="57"/>
    </row>
    <row r="480" spans="2:2">
      <c r="B480" s="57"/>
    </row>
    <row r="481" spans="2:2">
      <c r="B481" s="57"/>
    </row>
    <row r="482" spans="2:2">
      <c r="B482" s="57"/>
    </row>
    <row r="483" spans="2:2">
      <c r="B483" s="57"/>
    </row>
    <row r="484" spans="2:2">
      <c r="B484" s="57"/>
    </row>
    <row r="485" spans="2:2">
      <c r="B485" s="57"/>
    </row>
    <row r="486" spans="2:2">
      <c r="B486" s="57"/>
    </row>
    <row r="487" spans="2:2">
      <c r="B487" s="57"/>
    </row>
    <row r="488" spans="2:2">
      <c r="B488" s="57"/>
    </row>
    <row r="489" spans="2:2">
      <c r="B489" s="57"/>
    </row>
    <row r="490" spans="2:2">
      <c r="B490" s="57"/>
    </row>
    <row r="491" spans="2:2">
      <c r="B491" s="57"/>
    </row>
    <row r="492" spans="2:2">
      <c r="B492" s="57"/>
    </row>
    <row r="493" spans="2:2">
      <c r="B493" s="57"/>
    </row>
    <row r="494" spans="2:2">
      <c r="B494" s="57"/>
    </row>
    <row r="495" spans="2:2">
      <c r="B495" s="57"/>
    </row>
    <row r="496" spans="2:2">
      <c r="B496" s="57"/>
    </row>
    <row r="497" spans="2:2">
      <c r="B497" s="57"/>
    </row>
    <row r="498" spans="2:2">
      <c r="B498" s="57"/>
    </row>
    <row r="499" spans="2:2">
      <c r="B499" s="57"/>
    </row>
    <row r="500" spans="2:2">
      <c r="B500" s="57"/>
    </row>
    <row r="501" spans="2:2">
      <c r="B501" s="57"/>
    </row>
    <row r="502" spans="2:2">
      <c r="B502" s="57"/>
    </row>
    <row r="503" spans="2:2">
      <c r="B503" s="57"/>
    </row>
    <row r="504" spans="2:2">
      <c r="B504" s="57"/>
    </row>
    <row r="505" spans="2:2">
      <c r="B505" s="57"/>
    </row>
    <row r="506" spans="2:2">
      <c r="B506" s="57"/>
    </row>
    <row r="507" spans="2:2">
      <c r="B507" s="57"/>
    </row>
    <row r="508" spans="2:2">
      <c r="B508" s="57"/>
    </row>
    <row r="509" spans="2:2">
      <c r="B509" s="57"/>
    </row>
    <row r="510" spans="2:2">
      <c r="B510" s="57"/>
    </row>
    <row r="511" spans="2:2">
      <c r="B511" s="57"/>
    </row>
    <row r="512" spans="2:2">
      <c r="B512" s="57"/>
    </row>
    <row r="513" spans="2:2">
      <c r="B513" s="57"/>
    </row>
    <row r="514" spans="2:2">
      <c r="B514" s="57"/>
    </row>
    <row r="515" spans="2:2">
      <c r="B515" s="57"/>
    </row>
    <row r="516" spans="2:2">
      <c r="B516" s="57"/>
    </row>
    <row r="517" spans="2:2">
      <c r="B517" s="57"/>
    </row>
    <row r="518" spans="2:2">
      <c r="B518" s="57"/>
    </row>
    <row r="519" spans="2:2">
      <c r="B519" s="57"/>
    </row>
    <row r="520" spans="2:2">
      <c r="B520" s="57"/>
    </row>
    <row r="521" spans="2:2">
      <c r="B521" s="57"/>
    </row>
    <row r="522" spans="2:2">
      <c r="B522" s="57"/>
    </row>
    <row r="523" spans="2:2">
      <c r="B523" s="57"/>
    </row>
    <row r="524" spans="2:2">
      <c r="B524" s="57"/>
    </row>
    <row r="525" spans="2:2">
      <c r="B525" s="57"/>
    </row>
    <row r="526" spans="2:2">
      <c r="B526" s="57"/>
    </row>
    <row r="527" spans="2:2">
      <c r="B527" s="57"/>
    </row>
    <row r="528" spans="2:2">
      <c r="B528" s="57"/>
    </row>
    <row r="529" spans="2:2">
      <c r="B529" s="57"/>
    </row>
    <row r="530" spans="2:2">
      <c r="B530" s="57"/>
    </row>
    <row r="531" spans="2:2">
      <c r="B531" s="57"/>
    </row>
    <row r="532" spans="2:2">
      <c r="B532" s="57"/>
    </row>
    <row r="533" spans="2:2">
      <c r="B533" s="57"/>
    </row>
    <row r="534" spans="2:2">
      <c r="B534" s="57"/>
    </row>
    <row r="535" spans="2:2">
      <c r="B535" s="57"/>
    </row>
    <row r="536" spans="2:2">
      <c r="B536" s="57"/>
    </row>
    <row r="537" spans="2:2">
      <c r="B537" s="57"/>
    </row>
    <row r="538" spans="2:2">
      <c r="B538" s="57"/>
    </row>
    <row r="539" spans="2:2">
      <c r="B539" s="57"/>
    </row>
    <row r="540" spans="2:2">
      <c r="B540" s="57"/>
    </row>
    <row r="541" spans="2:2">
      <c r="B541" s="57"/>
    </row>
    <row r="542" spans="2:2">
      <c r="B542" s="57"/>
    </row>
    <row r="543" spans="2:2">
      <c r="B543" s="57"/>
    </row>
    <row r="544" spans="2:2">
      <c r="B544" s="57"/>
    </row>
    <row r="545" spans="2:2">
      <c r="B545" s="57"/>
    </row>
    <row r="546" spans="2:2">
      <c r="B546" s="57"/>
    </row>
    <row r="547" spans="2:2">
      <c r="B547" s="57"/>
    </row>
    <row r="548" spans="2:2">
      <c r="B548" s="57"/>
    </row>
    <row r="549" spans="2:2">
      <c r="B549" s="57"/>
    </row>
    <row r="550" spans="2:2">
      <c r="B550" s="57"/>
    </row>
    <row r="551" spans="2:2">
      <c r="B551" s="57"/>
    </row>
    <row r="552" spans="2:2">
      <c r="B552" s="57"/>
    </row>
    <row r="553" spans="2:2">
      <c r="B553" s="57"/>
    </row>
    <row r="554" spans="2:2">
      <c r="B554" s="57"/>
    </row>
    <row r="555" spans="2:2">
      <c r="B555" s="57"/>
    </row>
    <row r="556" spans="2:2">
      <c r="B556" s="57"/>
    </row>
    <row r="557" spans="2:2">
      <c r="B557" s="57"/>
    </row>
    <row r="558" spans="2:2">
      <c r="B558" s="57"/>
    </row>
    <row r="559" spans="2:2">
      <c r="B559" s="57"/>
    </row>
    <row r="560" spans="2:2">
      <c r="B560" s="57"/>
    </row>
    <row r="561" spans="2:2">
      <c r="B561" s="57"/>
    </row>
    <row r="562" spans="2:2">
      <c r="B562" s="57"/>
    </row>
    <row r="563" spans="2:2">
      <c r="B563" s="57"/>
    </row>
    <row r="564" spans="2:2">
      <c r="B564" s="57"/>
    </row>
    <row r="565" spans="2:2">
      <c r="B565" s="57"/>
    </row>
    <row r="566" spans="2:2">
      <c r="B566" s="57"/>
    </row>
    <row r="567" spans="2:2">
      <c r="B567" s="57"/>
    </row>
    <row r="568" spans="2:2">
      <c r="B568" s="57"/>
    </row>
    <row r="569" spans="2:2">
      <c r="B569" s="57"/>
    </row>
    <row r="570" spans="2:2">
      <c r="B570" s="57"/>
    </row>
    <row r="571" spans="2:2">
      <c r="B571" s="57"/>
    </row>
    <row r="572" spans="2:2">
      <c r="B572" s="57"/>
    </row>
    <row r="573" spans="2:2">
      <c r="B573" s="57"/>
    </row>
    <row r="574" spans="2:2">
      <c r="B574" s="57"/>
    </row>
    <row r="575" spans="2:2">
      <c r="B575" s="57"/>
    </row>
    <row r="576" spans="2:2">
      <c r="B576" s="57"/>
    </row>
    <row r="577" spans="2:2">
      <c r="B577" s="57"/>
    </row>
    <row r="578" spans="2:2">
      <c r="B578" s="57"/>
    </row>
    <row r="579" spans="2:2">
      <c r="B579" s="57"/>
    </row>
    <row r="580" spans="2:2">
      <c r="B580" s="57"/>
    </row>
    <row r="581" spans="2:2">
      <c r="B581" s="57"/>
    </row>
    <row r="582" spans="2:2">
      <c r="B582" s="57"/>
    </row>
    <row r="583" spans="2:2">
      <c r="B583" s="57"/>
    </row>
    <row r="584" spans="2:2">
      <c r="B584" s="57"/>
    </row>
    <row r="585" spans="2:2">
      <c r="B585" s="57"/>
    </row>
    <row r="586" spans="2:2">
      <c r="B586" s="57"/>
    </row>
    <row r="587" spans="2:2">
      <c r="B587" s="57"/>
    </row>
    <row r="588" spans="2:2">
      <c r="B588" s="57"/>
    </row>
    <row r="589" spans="2:2">
      <c r="B589" s="57"/>
    </row>
    <row r="590" spans="2:2">
      <c r="B590" s="57"/>
    </row>
    <row r="591" spans="2:2">
      <c r="B591" s="57"/>
    </row>
    <row r="592" spans="2:2">
      <c r="B592" s="57"/>
    </row>
    <row r="593" spans="2:2">
      <c r="B593" s="57"/>
    </row>
    <row r="594" spans="2:2">
      <c r="B594" s="57"/>
    </row>
    <row r="595" spans="2:2">
      <c r="B595" s="57"/>
    </row>
    <row r="596" spans="2:2">
      <c r="B596" s="57"/>
    </row>
    <row r="597" spans="2:2">
      <c r="B597" s="57"/>
    </row>
    <row r="598" spans="2:2">
      <c r="B598" s="57"/>
    </row>
    <row r="599" spans="2:2">
      <c r="B599" s="57"/>
    </row>
    <row r="600" spans="2:2">
      <c r="B600" s="57"/>
    </row>
    <row r="601" spans="2:2">
      <c r="B601" s="57"/>
    </row>
    <row r="602" spans="2:2">
      <c r="B602" s="57"/>
    </row>
    <row r="603" spans="2:2">
      <c r="B603" s="57"/>
    </row>
    <row r="604" spans="2:2">
      <c r="B604" s="57"/>
    </row>
    <row r="605" spans="2:2">
      <c r="B605" s="57"/>
    </row>
    <row r="606" spans="2:2">
      <c r="B606" s="57"/>
    </row>
    <row r="607" spans="2:2">
      <c r="B607" s="57"/>
    </row>
    <row r="608" spans="2:2">
      <c r="B608" s="57"/>
    </row>
    <row r="609" spans="2:2">
      <c r="B609" s="57"/>
    </row>
    <row r="610" spans="2:2">
      <c r="B610" s="57"/>
    </row>
    <row r="611" spans="2:2">
      <c r="B611" s="57"/>
    </row>
    <row r="612" spans="2:2">
      <c r="B612" s="57"/>
    </row>
    <row r="613" spans="2:2">
      <c r="B613" s="57"/>
    </row>
    <row r="614" spans="2:2">
      <c r="B614" s="57"/>
    </row>
    <row r="615" spans="2:2">
      <c r="B615" s="57"/>
    </row>
    <row r="616" spans="2:2">
      <c r="B616" s="57"/>
    </row>
    <row r="617" spans="2:2">
      <c r="B617" s="57"/>
    </row>
    <row r="618" spans="2:2">
      <c r="B618" s="57"/>
    </row>
    <row r="619" spans="2:2">
      <c r="B619" s="57"/>
    </row>
    <row r="620" spans="2:2">
      <c r="B620" s="57"/>
    </row>
    <row r="621" spans="2:2">
      <c r="B621" s="57"/>
    </row>
    <row r="622" spans="2:2">
      <c r="B622" s="57"/>
    </row>
    <row r="623" spans="2:2">
      <c r="B623" s="57"/>
    </row>
    <row r="624" spans="2:2">
      <c r="B624" s="57"/>
    </row>
    <row r="625" spans="2:2">
      <c r="B625" s="57"/>
    </row>
    <row r="626" spans="2:2">
      <c r="B626" s="57"/>
    </row>
    <row r="627" spans="2:2">
      <c r="B627" s="57"/>
    </row>
    <row r="628" spans="2:2">
      <c r="B628" s="57"/>
    </row>
    <row r="629" spans="2:2">
      <c r="B629" s="57"/>
    </row>
    <row r="630" spans="2:2">
      <c r="B630" s="57"/>
    </row>
    <row r="631" spans="2:2">
      <c r="B631" s="57"/>
    </row>
    <row r="632" spans="2:2">
      <c r="B632" s="57"/>
    </row>
    <row r="633" spans="2:2">
      <c r="B633" s="57"/>
    </row>
    <row r="634" spans="2:2">
      <c r="B634" s="57"/>
    </row>
    <row r="635" spans="2:2">
      <c r="B635" s="57"/>
    </row>
    <row r="636" spans="2:2">
      <c r="B636" s="57"/>
    </row>
    <row r="637" spans="2:2">
      <c r="B637" s="57"/>
    </row>
    <row r="638" spans="2:2">
      <c r="B638" s="57"/>
    </row>
    <row r="639" spans="2:2">
      <c r="B639" s="57"/>
    </row>
    <row r="640" spans="2:2">
      <c r="B640" s="57"/>
    </row>
    <row r="641" spans="2:2">
      <c r="B641" s="57"/>
    </row>
    <row r="642" spans="2:2">
      <c r="B642" s="57"/>
    </row>
    <row r="643" spans="2:2">
      <c r="B643" s="57"/>
    </row>
    <row r="644" spans="2:2">
      <c r="B644" s="57"/>
    </row>
    <row r="645" spans="2:2">
      <c r="B645" s="57"/>
    </row>
    <row r="646" spans="2:2">
      <c r="B646" s="57"/>
    </row>
    <row r="647" spans="2:2">
      <c r="B647" s="57"/>
    </row>
    <row r="648" spans="2:2">
      <c r="B648" s="57"/>
    </row>
    <row r="649" spans="2:2">
      <c r="B649" s="57"/>
    </row>
    <row r="650" spans="2:2">
      <c r="B650" s="57"/>
    </row>
    <row r="651" spans="2:2">
      <c r="B651" s="57"/>
    </row>
    <row r="652" spans="2:2">
      <c r="B652" s="57"/>
    </row>
    <row r="653" spans="2:2">
      <c r="B653" s="57"/>
    </row>
    <row r="654" spans="2:2">
      <c r="B654" s="57"/>
    </row>
    <row r="655" spans="2:2">
      <c r="B655" s="57"/>
    </row>
    <row r="656" spans="2:2">
      <c r="B656" s="57"/>
    </row>
    <row r="657" spans="2:2">
      <c r="B657" s="57"/>
    </row>
    <row r="658" spans="2:2">
      <c r="B658" s="57"/>
    </row>
    <row r="659" spans="2:2">
      <c r="B659" s="57"/>
    </row>
    <row r="660" spans="2:2">
      <c r="B660" s="57"/>
    </row>
    <row r="661" spans="2:2">
      <c r="B661" s="57"/>
    </row>
    <row r="662" spans="2:2">
      <c r="B662" s="57"/>
    </row>
    <row r="663" spans="2:2">
      <c r="B663" s="57"/>
    </row>
    <row r="664" spans="2:2">
      <c r="B664" s="57"/>
    </row>
    <row r="665" spans="2:2">
      <c r="B665" s="57"/>
    </row>
    <row r="666" spans="2:2">
      <c r="B666" s="57"/>
    </row>
    <row r="667" spans="2:2">
      <c r="B667" s="57"/>
    </row>
    <row r="668" spans="2:2">
      <c r="B668" s="57"/>
    </row>
    <row r="669" spans="2:2">
      <c r="B669" s="57"/>
    </row>
    <row r="670" spans="2:2">
      <c r="B670" s="57"/>
    </row>
    <row r="671" spans="2:2">
      <c r="B671" s="57"/>
    </row>
    <row r="672" spans="2:2">
      <c r="B672" s="57"/>
    </row>
    <row r="673" spans="2:2">
      <c r="B673" s="57"/>
    </row>
    <row r="674" spans="2:2">
      <c r="B674" s="57"/>
    </row>
    <row r="675" spans="2:2">
      <c r="B675" s="57"/>
    </row>
    <row r="676" spans="2:2">
      <c r="B676" s="57"/>
    </row>
    <row r="677" spans="2:2">
      <c r="B677" s="57"/>
    </row>
    <row r="678" spans="2:2">
      <c r="B678" s="57"/>
    </row>
    <row r="679" spans="2:2">
      <c r="B679" s="57"/>
    </row>
    <row r="680" spans="2:2">
      <c r="B680" s="57"/>
    </row>
    <row r="681" spans="2:2">
      <c r="B681" s="57"/>
    </row>
    <row r="682" spans="2:2">
      <c r="B682" s="57"/>
    </row>
    <row r="683" spans="2:2">
      <c r="B683" s="57"/>
    </row>
    <row r="684" spans="2:2">
      <c r="B684" s="57"/>
    </row>
    <row r="685" spans="2:2">
      <c r="B685" s="57"/>
    </row>
    <row r="686" spans="2:2">
      <c r="B686" s="57"/>
    </row>
    <row r="687" spans="2:2">
      <c r="B687" s="57"/>
    </row>
    <row r="688" spans="2:2">
      <c r="B688" s="57"/>
    </row>
    <row r="689" spans="2:2">
      <c r="B689" s="57"/>
    </row>
    <row r="690" spans="2:2">
      <c r="B690" s="57"/>
    </row>
    <row r="691" spans="2:2">
      <c r="B691" s="57"/>
    </row>
    <row r="692" spans="2:2">
      <c r="B692" s="57"/>
    </row>
    <row r="693" spans="2:2">
      <c r="B693" s="57"/>
    </row>
    <row r="694" spans="2:2">
      <c r="B694" s="57"/>
    </row>
    <row r="695" spans="2:2">
      <c r="B695" s="57"/>
    </row>
    <row r="696" spans="2:2">
      <c r="B696" s="57"/>
    </row>
    <row r="697" spans="2:2">
      <c r="B697" s="57"/>
    </row>
    <row r="698" spans="2:2">
      <c r="B698" s="57"/>
    </row>
    <row r="699" spans="2:2">
      <c r="B699" s="57"/>
    </row>
    <row r="700" spans="2:2">
      <c r="B700" s="57"/>
    </row>
    <row r="701" spans="2:2">
      <c r="B701" s="57"/>
    </row>
    <row r="702" spans="2:2">
      <c r="B702" s="57"/>
    </row>
    <row r="703" spans="2:2">
      <c r="B703" s="57"/>
    </row>
    <row r="704" spans="2:2">
      <c r="B704" s="57"/>
    </row>
    <row r="705" spans="2:2">
      <c r="B705" s="57"/>
    </row>
    <row r="706" spans="2:2">
      <c r="B706" s="57"/>
    </row>
    <row r="707" spans="2:2">
      <c r="B707" s="57"/>
    </row>
    <row r="708" spans="2:2">
      <c r="B708" s="57"/>
    </row>
    <row r="709" spans="2:2">
      <c r="B709" s="57"/>
    </row>
    <row r="710" spans="2:2">
      <c r="B710" s="57"/>
    </row>
    <row r="711" spans="2:2">
      <c r="B711" s="57"/>
    </row>
    <row r="712" spans="2:2">
      <c r="B712" s="57"/>
    </row>
    <row r="713" spans="2:2">
      <c r="B713" s="57"/>
    </row>
    <row r="714" spans="2:2">
      <c r="B714" s="57"/>
    </row>
    <row r="715" spans="2:2">
      <c r="B715" s="57"/>
    </row>
    <row r="716" spans="2:2">
      <c r="B716" s="57"/>
    </row>
    <row r="717" spans="2:2">
      <c r="B717" s="57"/>
    </row>
    <row r="718" spans="2:2">
      <c r="B718" s="57"/>
    </row>
    <row r="719" spans="2:2">
      <c r="B719" s="57"/>
    </row>
    <row r="720" spans="2:2">
      <c r="B720" s="57"/>
    </row>
    <row r="721" spans="2:2">
      <c r="B721" s="57"/>
    </row>
    <row r="722" spans="2:2">
      <c r="B722" s="57"/>
    </row>
    <row r="723" spans="2:2">
      <c r="B723" s="57"/>
    </row>
    <row r="724" spans="2:2">
      <c r="B724" s="57"/>
    </row>
    <row r="725" spans="2:2">
      <c r="B725" s="57"/>
    </row>
    <row r="726" spans="2:2">
      <c r="B726" s="57"/>
    </row>
    <row r="727" spans="2:2">
      <c r="B727" s="57"/>
    </row>
    <row r="728" spans="2:2">
      <c r="B728" s="57"/>
    </row>
    <row r="729" spans="2:2">
      <c r="B729" s="57"/>
    </row>
    <row r="730" spans="2:2">
      <c r="B730" s="57"/>
    </row>
    <row r="731" spans="2:2">
      <c r="B731" s="57"/>
    </row>
    <row r="732" spans="2:2">
      <c r="B732" s="57"/>
    </row>
    <row r="733" spans="2:2">
      <c r="B733" s="57"/>
    </row>
    <row r="734" spans="2:2">
      <c r="B734" s="57"/>
    </row>
    <row r="735" spans="2:2">
      <c r="B735" s="57"/>
    </row>
    <row r="736" spans="2:2">
      <c r="B736" s="57"/>
    </row>
    <row r="737" spans="2:2">
      <c r="B737" s="57"/>
    </row>
    <row r="738" spans="2:2">
      <c r="B738" s="57"/>
    </row>
    <row r="739" spans="2:2">
      <c r="B739" s="57"/>
    </row>
    <row r="740" spans="2:2">
      <c r="B740" s="57"/>
    </row>
    <row r="741" spans="2:2">
      <c r="B741" s="57"/>
    </row>
    <row r="742" spans="2:2">
      <c r="B742" s="57"/>
    </row>
    <row r="743" spans="2:2">
      <c r="B743" s="57"/>
    </row>
    <row r="744" spans="2:2">
      <c r="B744" s="57"/>
    </row>
    <row r="745" spans="2:2">
      <c r="B745" s="57"/>
    </row>
    <row r="746" spans="2:2">
      <c r="B746" s="57"/>
    </row>
    <row r="747" spans="2:2">
      <c r="B747" s="57"/>
    </row>
    <row r="748" spans="2:2">
      <c r="B748" s="57"/>
    </row>
    <row r="749" spans="2:2">
      <c r="B749" s="57"/>
    </row>
    <row r="750" spans="2:2">
      <c r="B750" s="57"/>
    </row>
    <row r="751" spans="2:2">
      <c r="B751" s="57"/>
    </row>
    <row r="752" spans="2:2">
      <c r="B752" s="57"/>
    </row>
    <row r="753" spans="2:2">
      <c r="B753" s="57"/>
    </row>
    <row r="754" spans="2:2">
      <c r="B754" s="57"/>
    </row>
    <row r="755" spans="2:2">
      <c r="B755" s="57"/>
    </row>
    <row r="756" spans="2:2">
      <c r="B756" s="57"/>
    </row>
    <row r="757" spans="2:2">
      <c r="B757" s="57"/>
    </row>
    <row r="758" spans="2:2">
      <c r="B758" s="57"/>
    </row>
    <row r="759" spans="2:2">
      <c r="B759" s="57"/>
    </row>
    <row r="760" spans="2:2">
      <c r="B760" s="57"/>
    </row>
    <row r="761" spans="2:2">
      <c r="B761" s="57"/>
    </row>
    <row r="762" spans="2:2">
      <c r="B762" s="57"/>
    </row>
    <row r="763" spans="2:2">
      <c r="B763" s="57"/>
    </row>
    <row r="764" spans="2:2">
      <c r="B764" s="57"/>
    </row>
    <row r="765" spans="2:2">
      <c r="B765" s="57"/>
    </row>
    <row r="766" spans="2:2">
      <c r="B766" s="57"/>
    </row>
    <row r="767" spans="2:2">
      <c r="B767" s="57"/>
    </row>
    <row r="768" spans="2:2">
      <c r="B768" s="57"/>
    </row>
    <row r="769" spans="2:2">
      <c r="B769" s="57"/>
    </row>
    <row r="770" spans="2:2">
      <c r="B770" s="57"/>
    </row>
    <row r="771" spans="2:2">
      <c r="B771" s="57"/>
    </row>
    <row r="772" spans="2:2">
      <c r="B772" s="57"/>
    </row>
    <row r="773" spans="2:2">
      <c r="B773" s="57"/>
    </row>
    <row r="774" spans="2:2">
      <c r="B774" s="57"/>
    </row>
    <row r="775" spans="2:2">
      <c r="B775" s="57"/>
    </row>
    <row r="776" spans="2:2">
      <c r="B776" s="57"/>
    </row>
    <row r="777" spans="2:2">
      <c r="B777" s="57"/>
    </row>
    <row r="778" spans="2:2">
      <c r="B778" s="57"/>
    </row>
    <row r="779" spans="2:2">
      <c r="B779" s="57"/>
    </row>
    <row r="780" spans="2:2">
      <c r="B780" s="57"/>
    </row>
    <row r="781" spans="2:2">
      <c r="B781" s="57"/>
    </row>
    <row r="782" spans="2:2">
      <c r="B782" s="57"/>
    </row>
    <row r="783" spans="2:2">
      <c r="B783" s="57"/>
    </row>
    <row r="784" spans="2:2">
      <c r="B784" s="57"/>
    </row>
    <row r="785" spans="2:2">
      <c r="B785" s="57"/>
    </row>
    <row r="786" spans="2:2">
      <c r="B786" s="57"/>
    </row>
    <row r="787" spans="2:2">
      <c r="B787" s="57"/>
    </row>
    <row r="788" spans="2:2">
      <c r="B788" s="57"/>
    </row>
    <row r="789" spans="2:2">
      <c r="B789" s="57"/>
    </row>
    <row r="790" spans="2:2">
      <c r="B790" s="57"/>
    </row>
    <row r="791" spans="2:2">
      <c r="B791" s="57"/>
    </row>
    <row r="792" spans="2:2">
      <c r="B792" s="57"/>
    </row>
    <row r="793" spans="2:2">
      <c r="B793" s="57"/>
    </row>
    <row r="794" spans="2:2">
      <c r="B794" s="57"/>
    </row>
    <row r="795" spans="2:2">
      <c r="B795" s="57"/>
    </row>
    <row r="796" spans="2:2">
      <c r="B796" s="57"/>
    </row>
    <row r="797" spans="2:2">
      <c r="B797" s="57"/>
    </row>
    <row r="798" spans="2:2">
      <c r="B798" s="57"/>
    </row>
    <row r="799" spans="2:2">
      <c r="B799" s="57"/>
    </row>
    <row r="800" spans="2:2">
      <c r="B800" s="57"/>
    </row>
    <row r="801" spans="2:2">
      <c r="B801" s="57"/>
    </row>
    <row r="802" spans="2:2">
      <c r="B802" s="57"/>
    </row>
    <row r="803" spans="2:2">
      <c r="B803" s="57"/>
    </row>
    <row r="804" spans="2:2">
      <c r="B804" s="57"/>
    </row>
    <row r="805" spans="2:2">
      <c r="B805" s="57"/>
    </row>
    <row r="806" spans="2:2">
      <c r="B806" s="57"/>
    </row>
    <row r="807" spans="2:2">
      <c r="B807" s="57"/>
    </row>
    <row r="808" spans="2:2">
      <c r="B808" s="57"/>
    </row>
    <row r="809" spans="2:2">
      <c r="B809" s="57"/>
    </row>
    <row r="810" spans="2:2">
      <c r="B810" s="57"/>
    </row>
    <row r="811" spans="2:2">
      <c r="B811" s="57"/>
    </row>
    <row r="812" spans="2:2">
      <c r="B812" s="57"/>
    </row>
    <row r="813" spans="2:2">
      <c r="B813" s="57"/>
    </row>
    <row r="814" spans="2:2">
      <c r="B814" s="57"/>
    </row>
    <row r="815" spans="2:2">
      <c r="B815" s="57"/>
    </row>
    <row r="816" spans="2:2">
      <c r="B816" s="57"/>
    </row>
    <row r="817" spans="2:2">
      <c r="B817" s="57"/>
    </row>
    <row r="818" spans="2:2">
      <c r="B818" s="57"/>
    </row>
    <row r="819" spans="2:2">
      <c r="B819" s="57"/>
    </row>
    <row r="820" spans="2:2">
      <c r="B820" s="57"/>
    </row>
    <row r="821" spans="2:2">
      <c r="B821" s="57"/>
    </row>
    <row r="822" spans="2:2">
      <c r="B822" s="57"/>
    </row>
    <row r="823" spans="2:2">
      <c r="B823" s="57"/>
    </row>
    <row r="824" spans="2:2">
      <c r="B824" s="57"/>
    </row>
    <row r="825" spans="2:2">
      <c r="B825" s="57"/>
    </row>
    <row r="826" spans="2:2">
      <c r="B826" s="57"/>
    </row>
    <row r="827" spans="2:2">
      <c r="B827" s="57"/>
    </row>
    <row r="828" spans="2:2">
      <c r="B828" s="57"/>
    </row>
    <row r="829" spans="2:2">
      <c r="B829" s="57"/>
    </row>
    <row r="830" spans="2:2">
      <c r="B830" s="57"/>
    </row>
    <row r="831" spans="2:2">
      <c r="B831" s="57"/>
    </row>
    <row r="832" spans="2:2">
      <c r="B832" s="57"/>
    </row>
    <row r="833" spans="2:2">
      <c r="B833" s="57"/>
    </row>
    <row r="834" spans="2:2">
      <c r="B834" s="57"/>
    </row>
    <row r="835" spans="2:2">
      <c r="B835" s="57"/>
    </row>
    <row r="836" spans="2:2">
      <c r="B836" s="57"/>
    </row>
    <row r="837" spans="2:2">
      <c r="B837" s="57"/>
    </row>
    <row r="838" spans="2:2">
      <c r="B838" s="57"/>
    </row>
    <row r="839" spans="2:2">
      <c r="B839" s="57"/>
    </row>
    <row r="840" spans="2:2">
      <c r="B840" s="57"/>
    </row>
    <row r="841" spans="2:2">
      <c r="B841" s="57"/>
    </row>
    <row r="842" spans="2:2">
      <c r="B842" s="57"/>
    </row>
    <row r="843" spans="2:2">
      <c r="B843" s="57"/>
    </row>
    <row r="844" spans="2:2">
      <c r="B844" s="57"/>
    </row>
    <row r="845" spans="2:2">
      <c r="B845" s="57"/>
    </row>
    <row r="846" spans="2:2">
      <c r="B846" s="57"/>
    </row>
    <row r="847" spans="2:2">
      <c r="B847" s="57"/>
    </row>
    <row r="848" spans="2:2">
      <c r="B848" s="57"/>
    </row>
    <row r="849" spans="2:2">
      <c r="B849" s="57"/>
    </row>
    <row r="850" spans="2:2">
      <c r="B850" s="57"/>
    </row>
    <row r="851" spans="2:2">
      <c r="B851" s="57"/>
    </row>
    <row r="852" spans="2:2">
      <c r="B852" s="57"/>
    </row>
    <row r="853" spans="2:2">
      <c r="B853" s="57"/>
    </row>
    <row r="854" spans="2:2">
      <c r="B854" s="57"/>
    </row>
    <row r="855" spans="2:2">
      <c r="B855" s="57"/>
    </row>
    <row r="856" spans="2:2">
      <c r="B856" s="57"/>
    </row>
    <row r="857" spans="2:2">
      <c r="B857" s="57"/>
    </row>
    <row r="858" spans="2:2">
      <c r="B858" s="57"/>
    </row>
    <row r="859" spans="2:2">
      <c r="B859" s="57"/>
    </row>
    <row r="860" spans="2:2">
      <c r="B860" s="57"/>
    </row>
    <row r="861" spans="2:2">
      <c r="B861" s="57"/>
    </row>
    <row r="862" spans="2:2">
      <c r="B862" s="57"/>
    </row>
    <row r="863" spans="2:2">
      <c r="B863" s="57"/>
    </row>
    <row r="864" spans="2:2">
      <c r="B864" s="57"/>
    </row>
    <row r="865" spans="2:2">
      <c r="B865" s="57"/>
    </row>
    <row r="866" spans="2:2">
      <c r="B866" s="57"/>
    </row>
    <row r="867" spans="2:2">
      <c r="B867" s="57"/>
    </row>
    <row r="868" spans="2:2">
      <c r="B868" s="57"/>
    </row>
    <row r="869" spans="2:2">
      <c r="B869" s="57"/>
    </row>
    <row r="870" spans="2:2">
      <c r="B870" s="57"/>
    </row>
    <row r="871" spans="2:2">
      <c r="B871" s="57"/>
    </row>
    <row r="872" spans="2:2">
      <c r="B872" s="57"/>
    </row>
    <row r="873" spans="2:2">
      <c r="B873" s="57"/>
    </row>
    <row r="874" spans="2:2">
      <c r="B874" s="57"/>
    </row>
    <row r="875" spans="2:2">
      <c r="B875" s="57"/>
    </row>
    <row r="876" spans="2:2">
      <c r="B876" s="57"/>
    </row>
    <row r="877" spans="2:2">
      <c r="B877" s="57"/>
    </row>
    <row r="878" spans="2:2">
      <c r="B878" s="57"/>
    </row>
    <row r="879" spans="2:2">
      <c r="B879" s="57"/>
    </row>
    <row r="880" spans="2:2">
      <c r="B880" s="57"/>
    </row>
    <row r="881" spans="2:2">
      <c r="B881" s="57"/>
    </row>
    <row r="882" spans="2:2">
      <c r="B882" s="57"/>
    </row>
    <row r="883" spans="2:2">
      <c r="B883" s="57"/>
    </row>
    <row r="884" spans="2:2">
      <c r="B884" s="57"/>
    </row>
    <row r="885" spans="2:2">
      <c r="B885" s="57"/>
    </row>
    <row r="886" spans="2:2">
      <c r="B886" s="57"/>
    </row>
    <row r="887" spans="2:2">
      <c r="B887" s="57"/>
    </row>
    <row r="888" spans="2:2">
      <c r="B888" s="57"/>
    </row>
    <row r="889" spans="2:2">
      <c r="B889" s="57"/>
    </row>
    <row r="890" spans="2:2">
      <c r="B890" s="57"/>
    </row>
    <row r="891" spans="2:2">
      <c r="B891" s="57"/>
    </row>
    <row r="892" spans="2:2">
      <c r="B892" s="57"/>
    </row>
    <row r="893" spans="2:2">
      <c r="B893" s="57"/>
    </row>
    <row r="894" spans="2:2">
      <c r="B894" s="57"/>
    </row>
    <row r="895" spans="2:2">
      <c r="B895" s="57"/>
    </row>
    <row r="896" spans="2:2">
      <c r="B896" s="57"/>
    </row>
    <row r="897" spans="2:2">
      <c r="B897" s="57"/>
    </row>
    <row r="898" spans="2:2">
      <c r="B898" s="57"/>
    </row>
    <row r="899" spans="2:2">
      <c r="B899" s="57"/>
    </row>
    <row r="900" spans="2:2">
      <c r="B900" s="57"/>
    </row>
    <row r="901" spans="2:2">
      <c r="B901" s="57"/>
    </row>
    <row r="902" spans="2:2">
      <c r="B902" s="57"/>
    </row>
    <row r="903" spans="2:2">
      <c r="B903" s="57"/>
    </row>
    <row r="904" spans="2:2">
      <c r="B904" s="57"/>
    </row>
    <row r="905" spans="2:2">
      <c r="B905" s="57"/>
    </row>
    <row r="906" spans="2:2">
      <c r="B906" s="57"/>
    </row>
    <row r="907" spans="2:2">
      <c r="B907" s="57"/>
    </row>
    <row r="908" spans="2:2">
      <c r="B908" s="57"/>
    </row>
    <row r="909" spans="2:2">
      <c r="B909" s="57"/>
    </row>
    <row r="910" spans="2:2">
      <c r="B910" s="57"/>
    </row>
    <row r="911" spans="2:2">
      <c r="B911" s="57"/>
    </row>
    <row r="912" spans="2:2">
      <c r="B912" s="57"/>
    </row>
    <row r="913" spans="2:2">
      <c r="B913" s="57"/>
    </row>
    <row r="914" spans="2:2">
      <c r="B914" s="57"/>
    </row>
    <row r="915" spans="2:2">
      <c r="B915" s="57"/>
    </row>
    <row r="916" spans="2:2">
      <c r="B916" s="57"/>
    </row>
    <row r="917" spans="2:2">
      <c r="B917" s="57"/>
    </row>
    <row r="918" spans="2:2">
      <c r="B918" s="57"/>
    </row>
    <row r="919" spans="2:2">
      <c r="B919" s="57"/>
    </row>
    <row r="920" spans="2:2">
      <c r="B920" s="57"/>
    </row>
    <row r="921" spans="2:2">
      <c r="B921" s="57"/>
    </row>
    <row r="922" spans="2:2">
      <c r="B922" s="57"/>
    </row>
    <row r="923" spans="2:2">
      <c r="B923" s="57"/>
    </row>
    <row r="924" spans="2:2">
      <c r="B924" s="57"/>
    </row>
    <row r="925" spans="2:2">
      <c r="B925" s="57"/>
    </row>
    <row r="926" spans="2:2">
      <c r="B926" s="57"/>
    </row>
    <row r="927" spans="2:2">
      <c r="B927" s="57"/>
    </row>
    <row r="928" spans="2:2">
      <c r="B928" s="57"/>
    </row>
    <row r="929" spans="2:2">
      <c r="B929" s="57"/>
    </row>
    <row r="930" spans="2:2">
      <c r="B930" s="57"/>
    </row>
    <row r="931" spans="2:2">
      <c r="B931" s="57"/>
    </row>
    <row r="932" spans="2:2">
      <c r="B932" s="57"/>
    </row>
    <row r="933" spans="2:2">
      <c r="B933" s="57"/>
    </row>
    <row r="934" spans="2:2">
      <c r="B934" s="57"/>
    </row>
    <row r="935" spans="2:2">
      <c r="B935" s="57"/>
    </row>
    <row r="936" spans="2:2">
      <c r="B936" s="57"/>
    </row>
    <row r="937" spans="2:2">
      <c r="B937" s="57"/>
    </row>
    <row r="938" spans="2:2">
      <c r="B938" s="57"/>
    </row>
    <row r="939" spans="2:2">
      <c r="B939" s="57"/>
    </row>
    <row r="940" spans="2:2">
      <c r="B940" s="57"/>
    </row>
    <row r="941" spans="2:2">
      <c r="B941" s="57"/>
    </row>
    <row r="942" spans="2:2">
      <c r="B942" s="57"/>
    </row>
    <row r="943" spans="2:2">
      <c r="B943" s="57"/>
    </row>
    <row r="944" spans="2:2">
      <c r="B944" s="57"/>
    </row>
    <row r="945" spans="2:2">
      <c r="B945" s="57"/>
    </row>
    <row r="946" spans="2:2">
      <c r="B946" s="57"/>
    </row>
    <row r="947" spans="2:2">
      <c r="B947" s="57"/>
    </row>
    <row r="948" spans="2:2">
      <c r="B948" s="57"/>
    </row>
    <row r="949" spans="2:2">
      <c r="B949" s="57"/>
    </row>
    <row r="950" spans="2:2">
      <c r="B950" s="57"/>
    </row>
    <row r="951" spans="2:2">
      <c r="B951" s="57"/>
    </row>
    <row r="952" spans="2:2">
      <c r="B952" s="57"/>
    </row>
    <row r="953" spans="2:2">
      <c r="B953" s="57"/>
    </row>
    <row r="954" spans="2:2">
      <c r="B954" s="57"/>
    </row>
    <row r="955" spans="2:2">
      <c r="B955" s="57"/>
    </row>
    <row r="956" spans="2:2">
      <c r="B956" s="57"/>
    </row>
    <row r="957" spans="2:2">
      <c r="B957" s="57"/>
    </row>
    <row r="958" spans="2:2">
      <c r="B958" s="57"/>
    </row>
    <row r="959" spans="2:2">
      <c r="B959" s="57"/>
    </row>
    <row r="960" spans="2:2">
      <c r="B960" s="57"/>
    </row>
    <row r="961" spans="2:2">
      <c r="B961" s="57"/>
    </row>
    <row r="962" spans="2:2">
      <c r="B962" s="57"/>
    </row>
    <row r="963" spans="2:2">
      <c r="B963" s="57"/>
    </row>
    <row r="964" spans="2:2">
      <c r="B964" s="57"/>
    </row>
    <row r="965" spans="2:2">
      <c r="B965" s="57"/>
    </row>
    <row r="966" spans="2:2">
      <c r="B966" s="57"/>
    </row>
    <row r="967" spans="2:2">
      <c r="B967" s="57"/>
    </row>
    <row r="968" spans="2:2">
      <c r="B968" s="57"/>
    </row>
    <row r="969" spans="2:2">
      <c r="B969" s="57"/>
    </row>
    <row r="970" spans="2:2">
      <c r="B970" s="57"/>
    </row>
    <row r="971" spans="2:2">
      <c r="B971" s="57"/>
    </row>
    <row r="972" spans="2:2">
      <c r="B972" s="57"/>
    </row>
    <row r="973" spans="2:2">
      <c r="B973" s="57"/>
    </row>
    <row r="974" spans="2:2">
      <c r="B974" s="57"/>
    </row>
    <row r="975" spans="2:2">
      <c r="B975" s="57"/>
    </row>
    <row r="976" spans="2:2">
      <c r="B976" s="57"/>
    </row>
    <row r="977" spans="2:2">
      <c r="B977" s="57"/>
    </row>
    <row r="978" spans="2:2">
      <c r="B978" s="57"/>
    </row>
    <row r="979" spans="2:2">
      <c r="B979" s="57"/>
    </row>
    <row r="980" spans="2:2">
      <c r="B980" s="57"/>
    </row>
    <row r="981" spans="2:2">
      <c r="B981" s="57"/>
    </row>
    <row r="982" spans="2:2">
      <c r="B982" s="57"/>
    </row>
    <row r="983" spans="2:2">
      <c r="B983" s="57"/>
    </row>
    <row r="984" spans="2:2">
      <c r="B984" s="57"/>
    </row>
    <row r="985" spans="2:2">
      <c r="B985" s="57"/>
    </row>
    <row r="986" spans="2:2">
      <c r="B986" s="57"/>
    </row>
    <row r="987" spans="2:2">
      <c r="B987" s="57"/>
    </row>
    <row r="988" spans="2:2">
      <c r="B988" s="57"/>
    </row>
    <row r="989" spans="2:2">
      <c r="B989" s="57"/>
    </row>
    <row r="990" spans="2:2">
      <c r="B990" s="57"/>
    </row>
    <row r="991" spans="2:2">
      <c r="B991" s="57"/>
    </row>
    <row r="992" spans="2:2">
      <c r="B992" s="57"/>
    </row>
    <row r="993" spans="2:2">
      <c r="B993" s="57"/>
    </row>
    <row r="994" spans="2:2">
      <c r="B994" s="57"/>
    </row>
    <row r="995" spans="2:2">
      <c r="B995" s="57"/>
    </row>
    <row r="996" spans="2:2">
      <c r="B996" s="57"/>
    </row>
    <row r="997" spans="2:2">
      <c r="B997" s="57"/>
    </row>
    <row r="998" spans="2:2">
      <c r="B998" s="57"/>
    </row>
    <row r="999" spans="2:2">
      <c r="B999" s="57"/>
    </row>
    <row r="1000" spans="2:2">
      <c r="B1000" s="57"/>
    </row>
    <row r="1001" spans="2:2">
      <c r="B1001" s="57"/>
    </row>
    <row r="1002" spans="2:2">
      <c r="B1002" s="57"/>
    </row>
    <row r="1003" spans="2:2">
      <c r="B1003" s="57"/>
    </row>
    <row r="1004" spans="2:2">
      <c r="B1004" s="57"/>
    </row>
    <row r="1005" spans="2:2">
      <c r="B1005" s="57"/>
    </row>
    <row r="1006" spans="2:2">
      <c r="B1006" s="57"/>
    </row>
    <row r="1007" spans="2:2">
      <c r="B1007" s="57"/>
    </row>
    <row r="1008" spans="2:2">
      <c r="B1008" s="57"/>
    </row>
    <row r="1009" spans="2:2">
      <c r="B1009" s="57"/>
    </row>
    <row r="1010" spans="2:2">
      <c r="B1010" s="57"/>
    </row>
    <row r="1011" spans="2:2">
      <c r="B1011" s="57"/>
    </row>
    <row r="1012" spans="2:2">
      <c r="B1012" s="57"/>
    </row>
    <row r="1013" spans="2:2">
      <c r="B1013" s="57"/>
    </row>
    <row r="1014" spans="2:2">
      <c r="B1014" s="57"/>
    </row>
    <row r="1015" spans="2:2">
      <c r="B1015" s="57"/>
    </row>
    <row r="1016" spans="2:2">
      <c r="B1016" s="57"/>
    </row>
    <row r="1017" spans="2:2">
      <c r="B1017" s="57"/>
    </row>
    <row r="1018" spans="2:2">
      <c r="B1018" s="57"/>
    </row>
    <row r="1019" spans="2:2">
      <c r="B1019" s="57"/>
    </row>
    <row r="1020" spans="2:2">
      <c r="B1020" s="57"/>
    </row>
    <row r="1021" spans="2:2">
      <c r="B1021" s="57"/>
    </row>
    <row r="1022" spans="2:2">
      <c r="B1022" s="57"/>
    </row>
    <row r="1023" spans="2:2">
      <c r="B1023" s="57"/>
    </row>
    <row r="1024" spans="2:2">
      <c r="B1024" s="57"/>
    </row>
    <row r="1025" spans="2:2">
      <c r="B1025" s="57"/>
    </row>
    <row r="1026" spans="2:2">
      <c r="B1026" s="57"/>
    </row>
    <row r="1027" spans="2:2">
      <c r="B1027" s="57"/>
    </row>
    <row r="1028" spans="2:2">
      <c r="B1028" s="57"/>
    </row>
    <row r="1029" spans="2:2">
      <c r="B1029" s="57"/>
    </row>
    <row r="1030" spans="2:2">
      <c r="B1030" s="57"/>
    </row>
    <row r="1031" spans="2:2">
      <c r="B1031" s="57"/>
    </row>
    <row r="1032" spans="2:2">
      <c r="B1032" s="57"/>
    </row>
    <row r="1033" spans="2:2">
      <c r="B1033" s="57"/>
    </row>
    <row r="1034" spans="2:2">
      <c r="B1034" s="57"/>
    </row>
    <row r="1035" spans="2:2">
      <c r="B1035" s="57"/>
    </row>
    <row r="1036" spans="2:2">
      <c r="B1036" s="57"/>
    </row>
    <row r="1037" spans="2:2">
      <c r="B1037" s="57"/>
    </row>
    <row r="1038" spans="2:2">
      <c r="B1038" s="57"/>
    </row>
    <row r="1039" spans="2:2">
      <c r="B1039" s="57"/>
    </row>
    <row r="1040" spans="2:2">
      <c r="B1040" s="57"/>
    </row>
    <row r="1041" spans="2:2">
      <c r="B1041" s="57"/>
    </row>
    <row r="1042" spans="2:2">
      <c r="B1042" s="57"/>
    </row>
    <row r="1043" spans="2:2">
      <c r="B1043" s="57"/>
    </row>
    <row r="1044" spans="2:2">
      <c r="B1044" s="57"/>
    </row>
    <row r="1045" spans="2:2">
      <c r="B1045" s="57"/>
    </row>
    <row r="1046" spans="2:2">
      <c r="B1046" s="57"/>
    </row>
    <row r="1047" spans="2:2">
      <c r="B1047" s="57"/>
    </row>
    <row r="1048" spans="2:2">
      <c r="B1048" s="57"/>
    </row>
    <row r="1049" spans="2:2">
      <c r="B1049" s="57"/>
    </row>
    <row r="1050" spans="2:2">
      <c r="B1050" s="57"/>
    </row>
    <row r="1051" spans="2:2">
      <c r="B1051" s="57"/>
    </row>
    <row r="1052" spans="2:2">
      <c r="B1052" s="57"/>
    </row>
    <row r="1053" spans="2:2">
      <c r="B1053" s="57"/>
    </row>
    <row r="1054" spans="2:2">
      <c r="B1054" s="57"/>
    </row>
    <row r="1055" spans="2:2">
      <c r="B1055" s="57"/>
    </row>
    <row r="1056" spans="2:2">
      <c r="B1056" s="57"/>
    </row>
    <row r="1057" spans="2:2">
      <c r="B1057" s="57"/>
    </row>
    <row r="1058" spans="2:2">
      <c r="B1058" s="57"/>
    </row>
    <row r="1059" spans="2:2">
      <c r="B1059" s="57"/>
    </row>
    <row r="1060" spans="2:2">
      <c r="B1060" s="57"/>
    </row>
    <row r="1061" spans="2:2">
      <c r="B1061" s="57"/>
    </row>
    <row r="1062" spans="2:2">
      <c r="B1062" s="57"/>
    </row>
    <row r="1063" spans="2:2">
      <c r="B1063" s="57"/>
    </row>
    <row r="1064" spans="2:2">
      <c r="B1064" s="57"/>
    </row>
    <row r="1065" spans="2:2">
      <c r="B1065" s="57"/>
    </row>
    <row r="1066" spans="2:2">
      <c r="B1066" s="57"/>
    </row>
    <row r="1067" spans="2:2">
      <c r="B1067" s="57"/>
    </row>
    <row r="1068" spans="2:2">
      <c r="B1068" s="57"/>
    </row>
    <row r="1069" spans="2:2">
      <c r="B1069" s="57"/>
    </row>
    <row r="1070" spans="2:2">
      <c r="B1070" s="57"/>
    </row>
    <row r="1071" spans="2:2">
      <c r="B1071" s="57"/>
    </row>
    <row r="1072" spans="2:2">
      <c r="B1072" s="57"/>
    </row>
    <row r="1073" spans="2:2">
      <c r="B1073" s="57"/>
    </row>
    <row r="1074" spans="2:2">
      <c r="B1074" s="57"/>
    </row>
    <row r="1075" spans="2:2">
      <c r="B1075" s="57"/>
    </row>
    <row r="1076" spans="2:2">
      <c r="B1076" s="57"/>
    </row>
    <row r="1077" spans="2:2">
      <c r="B1077" s="57"/>
    </row>
    <row r="1078" spans="2:2">
      <c r="B1078" s="57"/>
    </row>
    <row r="1079" spans="2:2">
      <c r="B1079" s="57"/>
    </row>
    <row r="1080" spans="2:2">
      <c r="B1080" s="57"/>
    </row>
    <row r="1081" spans="2:2">
      <c r="B1081" s="57"/>
    </row>
    <row r="1082" spans="2:2">
      <c r="B1082" s="57"/>
    </row>
    <row r="1083" spans="2:2">
      <c r="B1083" s="57"/>
    </row>
    <row r="1084" spans="2:2">
      <c r="B1084" s="57"/>
    </row>
    <row r="1085" spans="2:2">
      <c r="B1085" s="57"/>
    </row>
    <row r="1086" spans="2:2">
      <c r="B1086" s="57"/>
    </row>
    <row r="1087" spans="2:2">
      <c r="B1087" s="57"/>
    </row>
    <row r="1088" spans="2:2">
      <c r="B1088" s="57"/>
    </row>
    <row r="1089" spans="2:2">
      <c r="B1089" s="57"/>
    </row>
    <row r="1090" spans="2:2">
      <c r="B1090" s="57"/>
    </row>
    <row r="1091" spans="2:2">
      <c r="B1091" s="57"/>
    </row>
    <row r="1092" spans="2:2">
      <c r="B1092" s="57"/>
    </row>
    <row r="1093" spans="2:2">
      <c r="B1093" s="57"/>
    </row>
    <row r="1094" spans="2:2">
      <c r="B1094" s="57"/>
    </row>
    <row r="1095" spans="2:2">
      <c r="B1095" s="57"/>
    </row>
    <row r="1096" spans="2:2">
      <c r="B1096" s="57"/>
    </row>
    <row r="1097" spans="2:2">
      <c r="B1097" s="57"/>
    </row>
    <row r="1098" spans="2:2">
      <c r="B1098" s="57"/>
    </row>
    <row r="1099" spans="2:2">
      <c r="B1099" s="57"/>
    </row>
    <row r="1100" spans="2:2">
      <c r="B1100" s="57"/>
    </row>
    <row r="1101" spans="2:2">
      <c r="B1101" s="57"/>
    </row>
    <row r="1102" spans="2:2">
      <c r="B1102" s="57"/>
    </row>
    <row r="1103" spans="2:2">
      <c r="B1103" s="57"/>
    </row>
    <row r="1104" spans="2:2">
      <c r="B1104" s="57"/>
    </row>
    <row r="1105" spans="2:2">
      <c r="B1105" s="57"/>
    </row>
    <row r="1106" spans="2:2">
      <c r="B1106" s="57"/>
    </row>
    <row r="1107" spans="2:2">
      <c r="B1107" s="57"/>
    </row>
    <row r="1108" spans="2:2">
      <c r="B1108" s="57"/>
    </row>
    <row r="1109" spans="2:2">
      <c r="B1109" s="57"/>
    </row>
    <row r="1110" spans="2:2">
      <c r="B1110" s="57"/>
    </row>
    <row r="1111" spans="2:2">
      <c r="B1111" s="57"/>
    </row>
    <row r="1112" spans="2:2">
      <c r="B1112" s="57"/>
    </row>
    <row r="1113" spans="2:2">
      <c r="B1113" s="57"/>
    </row>
    <row r="1114" spans="2:2">
      <c r="B1114" s="57"/>
    </row>
    <row r="1115" spans="2:2">
      <c r="B1115" s="57"/>
    </row>
    <row r="1116" spans="2:2">
      <c r="B1116" s="57"/>
    </row>
    <row r="1117" spans="2:2">
      <c r="B1117" s="57"/>
    </row>
    <row r="1118" spans="2:2">
      <c r="B1118" s="57"/>
    </row>
    <row r="1119" spans="2:2">
      <c r="B1119" s="57"/>
    </row>
    <row r="1120" spans="2:2">
      <c r="B1120" s="57"/>
    </row>
    <row r="1121" spans="2:2">
      <c r="B1121" s="57"/>
    </row>
    <row r="1122" spans="2:2">
      <c r="B1122" s="57"/>
    </row>
    <row r="1123" spans="2:2">
      <c r="B1123" s="57"/>
    </row>
    <row r="1124" spans="2:2">
      <c r="B1124" s="57"/>
    </row>
    <row r="1125" spans="2:2">
      <c r="B1125" s="57"/>
    </row>
    <row r="1126" spans="2:2">
      <c r="B1126" s="57"/>
    </row>
    <row r="1127" spans="2:2">
      <c r="B1127" s="57"/>
    </row>
    <row r="1128" spans="2:2">
      <c r="B1128" s="57"/>
    </row>
    <row r="1129" spans="2:2">
      <c r="B1129" s="57"/>
    </row>
    <row r="1130" spans="2:2">
      <c r="B1130" s="57"/>
    </row>
    <row r="1131" spans="2:2">
      <c r="B1131" s="57"/>
    </row>
    <row r="1132" spans="2:2">
      <c r="B1132" s="57"/>
    </row>
    <row r="1133" spans="2:2">
      <c r="B1133" s="57"/>
    </row>
    <row r="1134" spans="2:2">
      <c r="B1134" s="57"/>
    </row>
    <row r="1135" spans="2:2">
      <c r="B1135" s="57"/>
    </row>
    <row r="1136" spans="2:2">
      <c r="B1136" s="57"/>
    </row>
    <row r="1137" spans="2:2">
      <c r="B1137" s="57"/>
    </row>
    <row r="1138" spans="2:2">
      <c r="B1138" s="57"/>
    </row>
    <row r="1139" spans="2:2">
      <c r="B1139" s="57"/>
    </row>
    <row r="1140" spans="2:2">
      <c r="B1140" s="57"/>
    </row>
    <row r="1141" spans="2:2">
      <c r="B1141" s="57"/>
    </row>
    <row r="1142" spans="2:2">
      <c r="B1142" s="57"/>
    </row>
    <row r="1143" spans="2:2">
      <c r="B1143" s="57"/>
    </row>
    <row r="1144" spans="2:2">
      <c r="B1144" s="57"/>
    </row>
    <row r="1145" spans="2:2">
      <c r="B1145" s="57"/>
    </row>
    <row r="1146" spans="2:2">
      <c r="B1146" s="57"/>
    </row>
    <row r="1147" spans="2:2">
      <c r="B1147" s="57"/>
    </row>
    <row r="1148" spans="2:2">
      <c r="B1148" s="57"/>
    </row>
    <row r="1149" spans="2:2">
      <c r="B1149" s="57"/>
    </row>
    <row r="1150" spans="2:2">
      <c r="B1150" s="57"/>
    </row>
    <row r="1151" spans="2:2">
      <c r="B1151" s="57"/>
    </row>
    <row r="1152" spans="2:2">
      <c r="B1152" s="57"/>
    </row>
    <row r="1153" spans="2:2">
      <c r="B1153" s="57"/>
    </row>
    <row r="1154" spans="2:2">
      <c r="B1154" s="57"/>
    </row>
    <row r="1155" spans="2:2">
      <c r="B1155" s="57"/>
    </row>
    <row r="1156" spans="2:2">
      <c r="B1156" s="57"/>
    </row>
    <row r="1157" spans="2:2">
      <c r="B1157" s="57"/>
    </row>
    <row r="1158" spans="2:2">
      <c r="B1158" s="57"/>
    </row>
    <row r="1159" spans="2:2">
      <c r="B1159" s="57"/>
    </row>
    <row r="1160" spans="2:2">
      <c r="B1160" s="57"/>
    </row>
    <row r="1161" spans="2:2">
      <c r="B1161" s="57"/>
    </row>
    <row r="1162" spans="2:2">
      <c r="B1162" s="57"/>
    </row>
    <row r="1163" spans="2:2">
      <c r="B1163" s="57"/>
    </row>
    <row r="1164" spans="2:2">
      <c r="B1164" s="57"/>
    </row>
    <row r="1165" spans="2:2">
      <c r="B1165" s="57"/>
    </row>
    <row r="1166" spans="2:2">
      <c r="B1166" s="57"/>
    </row>
    <row r="1167" spans="2:2">
      <c r="B1167" s="57"/>
    </row>
    <row r="1168" spans="2:2">
      <c r="B1168" s="57"/>
    </row>
    <row r="1169" spans="2:2">
      <c r="B1169" s="57"/>
    </row>
    <row r="1170" spans="2:2">
      <c r="B1170" s="57"/>
    </row>
    <row r="1171" spans="2:2">
      <c r="B1171" s="57"/>
    </row>
    <row r="1172" spans="2:2">
      <c r="B1172" s="57"/>
    </row>
    <row r="1173" spans="2:2">
      <c r="B1173" s="57"/>
    </row>
    <row r="1174" spans="2:2">
      <c r="B1174" s="57"/>
    </row>
    <row r="1175" spans="2:2">
      <c r="B1175" s="57"/>
    </row>
    <row r="1176" spans="2:2">
      <c r="B1176" s="57"/>
    </row>
    <row r="1177" spans="2:2">
      <c r="B1177" s="57"/>
    </row>
    <row r="1178" spans="2:2">
      <c r="B1178" s="57"/>
    </row>
    <row r="1179" spans="2:2">
      <c r="B1179" s="57"/>
    </row>
    <row r="1180" spans="2:2">
      <c r="B1180" s="57"/>
    </row>
    <row r="1181" spans="2:2">
      <c r="B1181" s="57"/>
    </row>
    <row r="1182" spans="2:2">
      <c r="B1182" s="57"/>
    </row>
    <row r="1183" spans="2:2">
      <c r="B1183" s="57"/>
    </row>
    <row r="1184" spans="2:2">
      <c r="B1184" s="57"/>
    </row>
    <row r="1185" spans="2:2">
      <c r="B1185" s="57"/>
    </row>
    <row r="1186" spans="2:2">
      <c r="B1186" s="57"/>
    </row>
    <row r="1187" spans="2:2">
      <c r="B1187" s="57"/>
    </row>
    <row r="1188" spans="2:2">
      <c r="B1188" s="57"/>
    </row>
    <row r="1189" spans="2:2">
      <c r="B1189" s="57"/>
    </row>
    <row r="1190" spans="2:2">
      <c r="B1190" s="57"/>
    </row>
    <row r="1191" spans="2:2">
      <c r="B1191" s="57"/>
    </row>
    <row r="1192" spans="2:2">
      <c r="B1192" s="57"/>
    </row>
    <row r="1193" spans="2:2">
      <c r="B1193" s="57"/>
    </row>
    <row r="1194" spans="2:2">
      <c r="B1194" s="57"/>
    </row>
    <row r="1195" spans="2:2">
      <c r="B1195" s="57"/>
    </row>
    <row r="1196" spans="2:2">
      <c r="B1196" s="57"/>
    </row>
    <row r="1197" spans="2:2">
      <c r="B1197" s="57"/>
    </row>
    <row r="1198" spans="2:2">
      <c r="B1198" s="57"/>
    </row>
    <row r="1199" spans="2:2">
      <c r="B1199" s="57"/>
    </row>
    <row r="1200" spans="2:2">
      <c r="B1200" s="57"/>
    </row>
    <row r="1201" spans="2:2">
      <c r="B1201" s="57"/>
    </row>
    <row r="1202" spans="2:2">
      <c r="B1202" s="57"/>
    </row>
    <row r="1203" spans="2:2">
      <c r="B1203" s="57"/>
    </row>
    <row r="1204" spans="2:2">
      <c r="B1204" s="57"/>
    </row>
    <row r="1205" spans="2:2">
      <c r="B1205" s="57"/>
    </row>
    <row r="1206" spans="2:2">
      <c r="B1206" s="57"/>
    </row>
    <row r="1207" spans="2:2">
      <c r="B1207" s="57"/>
    </row>
    <row r="1208" spans="2:2">
      <c r="B1208" s="57"/>
    </row>
    <row r="1209" spans="2:2">
      <c r="B1209" s="57"/>
    </row>
    <row r="1210" spans="2:2">
      <c r="B1210" s="57"/>
    </row>
    <row r="1211" spans="2:2">
      <c r="B1211" s="57"/>
    </row>
    <row r="1212" spans="2:2">
      <c r="B1212" s="57"/>
    </row>
    <row r="1213" spans="2:2">
      <c r="B1213" s="57"/>
    </row>
    <row r="1214" spans="2:2">
      <c r="B1214" s="57"/>
    </row>
    <row r="1215" spans="2:2">
      <c r="B1215" s="57"/>
    </row>
    <row r="1216" spans="2:2">
      <c r="B1216" s="57"/>
    </row>
    <row r="1217" spans="2:2">
      <c r="B1217" s="57"/>
    </row>
    <row r="1218" spans="2:2">
      <c r="B1218" s="57"/>
    </row>
    <row r="1219" spans="2:2">
      <c r="B1219" s="57"/>
    </row>
    <row r="1220" spans="2:2">
      <c r="B1220" s="57"/>
    </row>
    <row r="1221" spans="2:2">
      <c r="B1221" s="57"/>
    </row>
    <row r="1222" spans="2:2">
      <c r="B1222" s="57"/>
    </row>
    <row r="1223" spans="2:2">
      <c r="B1223" s="57"/>
    </row>
    <row r="1224" spans="2:2">
      <c r="B1224" s="57"/>
    </row>
    <row r="1225" spans="2:2">
      <c r="B1225" s="57"/>
    </row>
    <row r="1226" spans="2:2">
      <c r="B1226" s="57"/>
    </row>
    <row r="1227" spans="2:2">
      <c r="B1227" s="57"/>
    </row>
    <row r="1228" spans="2:2">
      <c r="B1228" s="57"/>
    </row>
    <row r="1229" spans="2:2">
      <c r="B1229" s="57"/>
    </row>
    <row r="1230" spans="2:2">
      <c r="B1230" s="57"/>
    </row>
    <row r="1231" spans="2:2">
      <c r="B1231" s="57"/>
    </row>
    <row r="1232" spans="2:2">
      <c r="B1232" s="57"/>
    </row>
    <row r="1233" spans="2:2">
      <c r="B1233" s="57"/>
    </row>
    <row r="1234" spans="2:2">
      <c r="B1234" s="57"/>
    </row>
    <row r="1235" spans="2:2">
      <c r="B1235" s="57"/>
    </row>
    <row r="1236" spans="2:2">
      <c r="B1236" s="57"/>
    </row>
    <row r="1237" spans="2:2">
      <c r="B1237" s="57"/>
    </row>
    <row r="1238" spans="2:2">
      <c r="B1238" s="57"/>
    </row>
    <row r="1239" spans="2:2">
      <c r="B1239" s="57"/>
    </row>
    <row r="1240" spans="2:2">
      <c r="B1240" s="57"/>
    </row>
    <row r="1241" spans="2:2">
      <c r="B1241" s="57"/>
    </row>
    <row r="1242" spans="2:2">
      <c r="B1242" s="57"/>
    </row>
    <row r="1243" spans="2:2">
      <c r="B1243" s="57"/>
    </row>
    <row r="1244" spans="2:2">
      <c r="B1244" s="57"/>
    </row>
    <row r="1245" spans="2:2">
      <c r="B1245" s="57"/>
    </row>
    <row r="1246" spans="2:2">
      <c r="B1246" s="57"/>
    </row>
    <row r="1247" spans="2:2">
      <c r="B1247" s="57"/>
    </row>
    <row r="1248" spans="2:2">
      <c r="B1248" s="57"/>
    </row>
    <row r="1249" spans="2:2">
      <c r="B1249" s="57"/>
    </row>
    <row r="1250" spans="2:2">
      <c r="B1250" s="57"/>
    </row>
    <row r="1251" spans="2:2">
      <c r="B1251" s="57"/>
    </row>
    <row r="1252" spans="2:2">
      <c r="B1252" s="57"/>
    </row>
    <row r="1253" spans="2:2">
      <c r="B1253" s="57"/>
    </row>
    <row r="1254" spans="2:2">
      <c r="B1254" s="57"/>
    </row>
    <row r="1255" spans="2:2">
      <c r="B1255" s="57"/>
    </row>
    <row r="1256" spans="2:2">
      <c r="B1256" s="57"/>
    </row>
    <row r="1257" spans="2:2">
      <c r="B1257" s="57"/>
    </row>
    <row r="1258" spans="2:2">
      <c r="B1258" s="57"/>
    </row>
    <row r="1259" spans="2:2">
      <c r="B1259" s="57"/>
    </row>
    <row r="1260" spans="2:2">
      <c r="B1260" s="57"/>
    </row>
    <row r="1261" spans="2:2">
      <c r="B1261" s="57"/>
    </row>
    <row r="1262" spans="2:2">
      <c r="B1262" s="57"/>
    </row>
    <row r="1263" spans="2:2">
      <c r="B1263" s="57"/>
    </row>
    <row r="1264" spans="2:2">
      <c r="B1264" s="57"/>
    </row>
    <row r="1265" spans="2:2">
      <c r="B1265" s="57"/>
    </row>
    <row r="1266" spans="2:2">
      <c r="B1266" s="57"/>
    </row>
    <row r="1267" spans="2:2">
      <c r="B1267" s="57"/>
    </row>
    <row r="1268" spans="2:2">
      <c r="B1268" s="57"/>
    </row>
    <row r="1269" spans="2:2">
      <c r="B1269" s="57"/>
    </row>
    <row r="1270" spans="2:2">
      <c r="B1270" s="57"/>
    </row>
    <row r="1271" spans="2:2">
      <c r="B1271" s="57"/>
    </row>
    <row r="1272" spans="2:2">
      <c r="B1272" s="57"/>
    </row>
    <row r="1273" spans="2:2">
      <c r="B1273" s="57"/>
    </row>
    <row r="1274" spans="2:2">
      <c r="B1274" s="57"/>
    </row>
    <row r="1275" spans="2:2">
      <c r="B1275" s="57"/>
    </row>
    <row r="1276" spans="2:2">
      <c r="B1276" s="57"/>
    </row>
    <row r="1277" spans="2:2">
      <c r="B1277" s="57"/>
    </row>
    <row r="1278" spans="2:2">
      <c r="B1278" s="57"/>
    </row>
    <row r="1279" spans="2:2">
      <c r="B1279" s="57"/>
    </row>
    <row r="1280" spans="2:2">
      <c r="B1280" s="57"/>
    </row>
    <row r="1281" spans="2:2">
      <c r="B1281" s="57"/>
    </row>
    <row r="1282" spans="2:2">
      <c r="B1282" s="57"/>
    </row>
    <row r="1283" spans="2:2">
      <c r="B1283" s="57"/>
    </row>
    <row r="1284" spans="2:2">
      <c r="B1284" s="57"/>
    </row>
    <row r="1285" spans="2:2">
      <c r="B1285" s="57"/>
    </row>
    <row r="1286" spans="2:2">
      <c r="B1286" s="57"/>
    </row>
    <row r="1287" spans="2:2">
      <c r="B1287" s="57"/>
    </row>
    <row r="1288" spans="2:2">
      <c r="B1288" s="57"/>
    </row>
    <row r="1289" spans="2:2">
      <c r="B1289" s="57"/>
    </row>
    <row r="1290" spans="2:2">
      <c r="B1290" s="57"/>
    </row>
    <row r="1291" spans="2:2">
      <c r="B1291" s="57"/>
    </row>
    <row r="1292" spans="2:2">
      <c r="B1292" s="57"/>
    </row>
    <row r="1293" spans="2:2">
      <c r="B1293" s="57"/>
    </row>
    <row r="1294" spans="2:2">
      <c r="B1294" s="57"/>
    </row>
    <row r="1295" spans="2:2">
      <c r="B1295" s="57"/>
    </row>
    <row r="1296" spans="2:2">
      <c r="B1296" s="57"/>
    </row>
    <row r="1297" spans="2:2">
      <c r="B1297" s="57"/>
    </row>
    <row r="1298" spans="2:2">
      <c r="B1298" s="57"/>
    </row>
    <row r="1299" spans="2:2">
      <c r="B1299" s="57"/>
    </row>
    <row r="1300" spans="2:2">
      <c r="B1300" s="57"/>
    </row>
    <row r="1301" spans="2:2">
      <c r="B1301" s="57"/>
    </row>
    <row r="1302" spans="2:2">
      <c r="B1302" s="57"/>
    </row>
    <row r="1303" spans="2:2">
      <c r="B1303" s="57"/>
    </row>
    <row r="1304" spans="2:2">
      <c r="B1304" s="57"/>
    </row>
    <row r="1305" spans="2:2">
      <c r="B1305" s="57"/>
    </row>
    <row r="1306" spans="2:2">
      <c r="B1306" s="57"/>
    </row>
    <row r="1307" spans="2:2">
      <c r="B1307" s="57"/>
    </row>
    <row r="1308" spans="2:2">
      <c r="B1308" s="57"/>
    </row>
    <row r="1309" spans="2:2">
      <c r="B1309" s="57"/>
    </row>
    <row r="1310" spans="2:2">
      <c r="B1310" s="57"/>
    </row>
    <row r="1311" spans="2:2">
      <c r="B1311" s="57"/>
    </row>
    <row r="1312" spans="2:2">
      <c r="B1312" s="57"/>
    </row>
    <row r="1313" spans="2:2">
      <c r="B1313" s="57"/>
    </row>
    <row r="1314" spans="2:2">
      <c r="B1314" s="57"/>
    </row>
    <row r="1315" spans="2:2">
      <c r="B1315" s="57"/>
    </row>
    <row r="1316" spans="2:2">
      <c r="B1316" s="57"/>
    </row>
    <row r="1317" spans="2:2">
      <c r="B1317" s="57"/>
    </row>
    <row r="1318" spans="2:2">
      <c r="B1318" s="57"/>
    </row>
    <row r="1319" spans="2:2">
      <c r="B1319" s="57"/>
    </row>
    <row r="1320" spans="2:2">
      <c r="B1320" s="57"/>
    </row>
    <row r="1321" spans="2:2">
      <c r="B1321" s="57"/>
    </row>
    <row r="1322" spans="2:2">
      <c r="B1322" s="57"/>
    </row>
    <row r="1323" spans="2:2">
      <c r="B1323" s="57"/>
    </row>
    <row r="1324" spans="2:2">
      <c r="B1324" s="57"/>
    </row>
    <row r="1325" spans="2:2">
      <c r="B1325" s="57"/>
    </row>
    <row r="1326" spans="2:2">
      <c r="B1326" s="57"/>
    </row>
    <row r="1327" spans="2:2">
      <c r="B1327" s="57"/>
    </row>
    <row r="1328" spans="2:2">
      <c r="B1328" s="57"/>
    </row>
    <row r="1329" spans="2:2">
      <c r="B1329" s="57"/>
    </row>
    <row r="1330" spans="2:2">
      <c r="B1330" s="57"/>
    </row>
    <row r="1331" spans="2:2">
      <c r="B1331" s="57"/>
    </row>
    <row r="1332" spans="2:2">
      <c r="B1332" s="57"/>
    </row>
    <row r="1333" spans="2:2">
      <c r="B1333" s="57"/>
    </row>
    <row r="1334" spans="2:2">
      <c r="B1334" s="57"/>
    </row>
    <row r="1335" spans="2:2">
      <c r="B1335" s="57"/>
    </row>
    <row r="1336" spans="2:2">
      <c r="B1336" s="57"/>
    </row>
    <row r="1337" spans="2:2">
      <c r="B1337" s="57"/>
    </row>
    <row r="1338" spans="2:2">
      <c r="B1338" s="57"/>
    </row>
    <row r="1339" spans="2:2">
      <c r="B1339" s="57"/>
    </row>
    <row r="1340" spans="2:2">
      <c r="B1340" s="57"/>
    </row>
    <row r="1341" spans="2:2">
      <c r="B1341" s="57"/>
    </row>
    <row r="1342" spans="2:2">
      <c r="B1342" s="57"/>
    </row>
    <row r="1343" spans="2:2">
      <c r="B1343" s="57"/>
    </row>
    <row r="1344" spans="2:2">
      <c r="B1344" s="57"/>
    </row>
    <row r="1345" spans="2:2">
      <c r="B1345" s="57"/>
    </row>
    <row r="1346" spans="2:2">
      <c r="B1346" s="57"/>
    </row>
    <row r="1347" spans="2:2">
      <c r="B1347" s="57"/>
    </row>
    <row r="1348" spans="2:2">
      <c r="B1348" s="57"/>
    </row>
    <row r="1349" spans="2:2">
      <c r="B1349" s="57"/>
    </row>
    <row r="1350" spans="2:2">
      <c r="B1350" s="57"/>
    </row>
    <row r="1351" spans="2:2">
      <c r="B1351" s="57"/>
    </row>
    <row r="1352" spans="2:2">
      <c r="B1352" s="57"/>
    </row>
    <row r="1353" spans="2:2">
      <c r="B1353" s="57"/>
    </row>
    <row r="1354" spans="2:2">
      <c r="B1354" s="57"/>
    </row>
    <row r="1355" spans="2:2">
      <c r="B1355" s="57"/>
    </row>
    <row r="1356" spans="2:2">
      <c r="B1356" s="57"/>
    </row>
    <row r="1357" spans="2:2">
      <c r="B1357" s="57"/>
    </row>
    <row r="1358" spans="2:2">
      <c r="B1358" s="57"/>
    </row>
    <row r="1359" spans="2:2">
      <c r="B1359" s="57"/>
    </row>
    <row r="1360" spans="2:2">
      <c r="B1360" s="57"/>
    </row>
    <row r="1361" spans="2:2">
      <c r="B1361" s="57"/>
    </row>
    <row r="1362" spans="2:2">
      <c r="B1362" s="57"/>
    </row>
    <row r="1363" spans="2:2">
      <c r="B1363" s="57"/>
    </row>
    <row r="1364" spans="2:2">
      <c r="B1364" s="57"/>
    </row>
    <row r="1365" spans="2:2">
      <c r="B1365" s="57"/>
    </row>
    <row r="1366" spans="2:2">
      <c r="B1366" s="57"/>
    </row>
    <row r="1367" spans="2:2">
      <c r="B1367" s="57"/>
    </row>
    <row r="1368" spans="2:2">
      <c r="B1368" s="57"/>
    </row>
    <row r="1369" spans="2:2">
      <c r="B1369" s="57"/>
    </row>
    <row r="1370" spans="2:2">
      <c r="B1370" s="57"/>
    </row>
    <row r="1371" spans="2:2">
      <c r="B1371" s="57"/>
    </row>
    <row r="1372" spans="2:2">
      <c r="B1372" s="57"/>
    </row>
    <row r="1373" spans="2:2">
      <c r="B1373" s="57"/>
    </row>
    <row r="1374" spans="2:2">
      <c r="B1374" s="57"/>
    </row>
    <row r="1375" spans="2:2">
      <c r="B1375" s="57"/>
    </row>
    <row r="1376" spans="2:2">
      <c r="B1376" s="57"/>
    </row>
    <row r="1377" spans="2:2">
      <c r="B1377" s="57"/>
    </row>
    <row r="1378" spans="2:2">
      <c r="B1378" s="57"/>
    </row>
    <row r="1379" spans="2:2">
      <c r="B1379" s="57"/>
    </row>
    <row r="1380" spans="2:2">
      <c r="B1380" s="57"/>
    </row>
    <row r="1381" spans="2:2">
      <c r="B1381" s="57"/>
    </row>
    <row r="1382" spans="2:2">
      <c r="B1382" s="57"/>
    </row>
    <row r="1383" spans="2:2">
      <c r="B1383" s="57"/>
    </row>
    <row r="1384" spans="2:2">
      <c r="B1384" s="57"/>
    </row>
    <row r="1385" spans="2:2">
      <c r="B1385" s="57"/>
    </row>
    <row r="1386" spans="2:2">
      <c r="B1386" s="57"/>
    </row>
    <row r="1387" spans="2:2">
      <c r="B1387" s="57"/>
    </row>
    <row r="1388" spans="2:2">
      <c r="B1388" s="57"/>
    </row>
    <row r="1389" spans="2:2">
      <c r="B1389" s="57"/>
    </row>
    <row r="1390" spans="2:2">
      <c r="B1390" s="57"/>
    </row>
    <row r="1391" spans="2:2">
      <c r="B1391" s="57"/>
    </row>
    <row r="1392" spans="2:2">
      <c r="B1392" s="57"/>
    </row>
    <row r="1393" spans="2:2">
      <c r="B1393" s="57"/>
    </row>
    <row r="1394" spans="2:2">
      <c r="B1394" s="57"/>
    </row>
    <row r="1395" spans="2:2">
      <c r="B1395" s="57"/>
    </row>
    <row r="1396" spans="2:2">
      <c r="B1396" s="57"/>
    </row>
    <row r="1397" spans="2:2">
      <c r="B1397" s="57"/>
    </row>
    <row r="1398" spans="2:2">
      <c r="B1398" s="57"/>
    </row>
    <row r="1399" spans="2:2">
      <c r="B1399" s="57"/>
    </row>
    <row r="1400" spans="2:2">
      <c r="B1400" s="57"/>
    </row>
    <row r="1401" spans="2:2">
      <c r="B1401" s="57"/>
    </row>
    <row r="1402" spans="2:2">
      <c r="B1402" s="57"/>
    </row>
    <row r="1403" spans="2:2">
      <c r="B1403" s="57"/>
    </row>
    <row r="1404" spans="2:2">
      <c r="B1404" s="57"/>
    </row>
    <row r="1405" spans="2:2">
      <c r="B1405" s="57"/>
    </row>
    <row r="1406" spans="2:2">
      <c r="B1406" s="57"/>
    </row>
    <row r="1407" spans="2:2">
      <c r="B1407" s="57"/>
    </row>
    <row r="1408" spans="2:2">
      <c r="B1408" s="57"/>
    </row>
    <row r="1409" spans="2:2">
      <c r="B1409" s="57"/>
    </row>
    <row r="1410" spans="2:2">
      <c r="B1410" s="57"/>
    </row>
    <row r="1411" spans="2:2">
      <c r="B1411" s="57"/>
    </row>
    <row r="1412" spans="2:2">
      <c r="B1412" s="57"/>
    </row>
    <row r="1413" spans="2:2">
      <c r="B1413" s="57"/>
    </row>
    <row r="1414" spans="2:2">
      <c r="B1414" s="57"/>
    </row>
    <row r="1415" spans="2:2">
      <c r="B1415" s="57"/>
    </row>
    <row r="1416" spans="2:2">
      <c r="B1416" s="57"/>
    </row>
    <row r="1417" spans="2:2">
      <c r="B1417" s="57"/>
    </row>
    <row r="1418" spans="2:2">
      <c r="B1418" s="57"/>
    </row>
    <row r="1419" spans="2:2">
      <c r="B1419" s="57"/>
    </row>
    <row r="1420" spans="2:2">
      <c r="B1420" s="57"/>
    </row>
    <row r="1421" spans="2:2">
      <c r="B1421" s="57"/>
    </row>
    <row r="1422" spans="2:2">
      <c r="B1422" s="57"/>
    </row>
    <row r="1423" spans="2:2">
      <c r="B1423" s="57"/>
    </row>
    <row r="1424" spans="2:2">
      <c r="B1424" s="57"/>
    </row>
    <row r="1425" spans="2:2">
      <c r="B1425" s="57"/>
    </row>
    <row r="1426" spans="2:2">
      <c r="B1426" s="57"/>
    </row>
    <row r="1427" spans="2:2">
      <c r="B1427" s="57"/>
    </row>
    <row r="1428" spans="2:2">
      <c r="B1428" s="57"/>
    </row>
    <row r="1429" spans="2:2">
      <c r="B1429" s="57"/>
    </row>
    <row r="1430" spans="2:2">
      <c r="B1430" s="57"/>
    </row>
    <row r="1431" spans="2:2">
      <c r="B1431" s="57"/>
    </row>
    <row r="1432" spans="2:2">
      <c r="B1432" s="57"/>
    </row>
    <row r="1433" spans="2:2">
      <c r="B1433" s="57"/>
    </row>
    <row r="1434" spans="2:2">
      <c r="B1434" s="57"/>
    </row>
    <row r="1435" spans="2:2">
      <c r="B1435" s="57"/>
    </row>
    <row r="1436" spans="2:2">
      <c r="B1436" s="57"/>
    </row>
    <row r="1437" spans="2:2">
      <c r="B1437" s="57"/>
    </row>
    <row r="1438" spans="2:2">
      <c r="B1438" s="57"/>
    </row>
    <row r="1439" spans="2:2">
      <c r="B1439" s="57"/>
    </row>
    <row r="1440" spans="2:2">
      <c r="B1440" s="57"/>
    </row>
    <row r="1441" spans="2:2">
      <c r="B1441" s="57"/>
    </row>
    <row r="1442" spans="2:2">
      <c r="B1442" s="57"/>
    </row>
    <row r="1443" spans="2:2">
      <c r="B1443" s="57"/>
    </row>
    <row r="1444" spans="2:2">
      <c r="B1444" s="57"/>
    </row>
    <row r="1445" spans="2:2">
      <c r="B1445" s="57"/>
    </row>
    <row r="1446" spans="2:2">
      <c r="B1446" s="57"/>
    </row>
    <row r="1447" spans="2:2">
      <c r="B1447" s="57"/>
    </row>
    <row r="1448" spans="2:2">
      <c r="B1448" s="57"/>
    </row>
    <row r="1449" spans="2:2">
      <c r="B1449" s="57"/>
    </row>
    <row r="1450" spans="2:2">
      <c r="B1450" s="57"/>
    </row>
    <row r="1451" spans="2:2">
      <c r="B1451" s="57"/>
    </row>
    <row r="1452" spans="2:2">
      <c r="B1452" s="57"/>
    </row>
    <row r="1453" spans="2:2">
      <c r="B1453" s="57"/>
    </row>
    <row r="1454" spans="2:2">
      <c r="B1454" s="57"/>
    </row>
    <row r="1455" spans="2:2">
      <c r="B1455" s="57"/>
    </row>
    <row r="1456" spans="2:2">
      <c r="B1456" s="57"/>
    </row>
    <row r="1457" spans="2:2">
      <c r="B1457" s="57"/>
    </row>
    <row r="1458" spans="2:2">
      <c r="B1458" s="57"/>
    </row>
    <row r="1459" spans="2:2">
      <c r="B1459" s="57"/>
    </row>
    <row r="1460" spans="2:2">
      <c r="B1460" s="57"/>
    </row>
    <row r="1461" spans="2:2">
      <c r="B1461" s="57"/>
    </row>
    <row r="1462" spans="2:2">
      <c r="B1462" s="57"/>
    </row>
    <row r="1463" spans="2:2">
      <c r="B1463" s="57"/>
    </row>
    <row r="1464" spans="2:2">
      <c r="B1464" s="57"/>
    </row>
    <row r="1465" spans="2:2">
      <c r="B1465" s="57"/>
    </row>
    <row r="1466" spans="2:2">
      <c r="B1466" s="57"/>
    </row>
    <row r="1467" spans="2:2">
      <c r="B1467" s="57"/>
    </row>
    <row r="1468" spans="2:2">
      <c r="B1468" s="57"/>
    </row>
    <row r="1469" spans="2:2">
      <c r="B1469" s="57"/>
    </row>
    <row r="1470" spans="2:2">
      <c r="B1470" s="57"/>
    </row>
    <row r="1471" spans="2:2">
      <c r="B1471" s="57"/>
    </row>
    <row r="1472" spans="2:2">
      <c r="B1472" s="57"/>
    </row>
    <row r="1473" spans="2:2">
      <c r="B1473" s="57"/>
    </row>
    <row r="1474" spans="2:2">
      <c r="B1474" s="57"/>
    </row>
    <row r="1475" spans="2:2">
      <c r="B1475" s="57"/>
    </row>
    <row r="1476" spans="2:2">
      <c r="B1476" s="57"/>
    </row>
    <row r="1477" spans="2:2">
      <c r="B1477" s="57"/>
    </row>
    <row r="1478" spans="2:2">
      <c r="B1478" s="57"/>
    </row>
    <row r="1479" spans="2:2">
      <c r="B1479" s="57"/>
    </row>
    <row r="1480" spans="2:2">
      <c r="B1480" s="57"/>
    </row>
    <row r="1481" spans="2:2">
      <c r="B1481" s="57"/>
    </row>
    <row r="1482" spans="2:2">
      <c r="B1482" s="57"/>
    </row>
    <row r="1483" spans="2:2">
      <c r="B1483" s="57"/>
    </row>
    <row r="1484" spans="2:2">
      <c r="B1484" s="57"/>
    </row>
    <row r="1485" spans="2:2">
      <c r="B1485" s="57"/>
    </row>
    <row r="1486" spans="2:2">
      <c r="B1486" s="57"/>
    </row>
    <row r="1487" spans="2:2">
      <c r="B1487" s="57"/>
    </row>
    <row r="1488" spans="2:2">
      <c r="B1488" s="57"/>
    </row>
    <row r="1489" spans="2:2">
      <c r="B1489" s="57"/>
    </row>
    <row r="1490" spans="2:2">
      <c r="B1490" s="57"/>
    </row>
    <row r="1491" spans="2:2">
      <c r="B1491" s="57"/>
    </row>
    <row r="1492" spans="2:2">
      <c r="B1492" s="57"/>
    </row>
    <row r="1493" spans="2:2">
      <c r="B1493" s="57"/>
    </row>
    <row r="1494" spans="2:2">
      <c r="B1494" s="57"/>
    </row>
    <row r="1495" spans="2:2">
      <c r="B1495" s="57"/>
    </row>
    <row r="1496" spans="2:2">
      <c r="B1496" s="57"/>
    </row>
    <row r="1497" spans="2:2">
      <c r="B1497" s="57"/>
    </row>
    <row r="1498" spans="2:2">
      <c r="B1498" s="57"/>
    </row>
    <row r="1499" spans="2:2">
      <c r="B1499" s="57"/>
    </row>
    <row r="1500" spans="2:2">
      <c r="B1500" s="57"/>
    </row>
    <row r="1501" spans="2:2">
      <c r="B1501" s="57"/>
    </row>
    <row r="1502" spans="2:2">
      <c r="B1502" s="57"/>
    </row>
    <row r="1503" spans="2:2">
      <c r="B1503" s="57"/>
    </row>
    <row r="1504" spans="2:2">
      <c r="B1504" s="57"/>
    </row>
    <row r="1505" spans="2:2">
      <c r="B1505" s="57"/>
    </row>
    <row r="1506" spans="2:2">
      <c r="B1506" s="57"/>
    </row>
    <row r="1507" spans="2:2">
      <c r="B1507" s="57"/>
    </row>
    <row r="1508" spans="2:2">
      <c r="B1508" s="57"/>
    </row>
    <row r="1509" spans="2:2">
      <c r="B1509" s="57"/>
    </row>
    <row r="1510" spans="2:2">
      <c r="B1510" s="57"/>
    </row>
    <row r="1511" spans="2:2">
      <c r="B1511" s="57"/>
    </row>
    <row r="1512" spans="2:2">
      <c r="B1512" s="57"/>
    </row>
    <row r="1513" spans="2:2">
      <c r="B1513" s="57"/>
    </row>
    <row r="1514" spans="2:2">
      <c r="B1514" s="57"/>
    </row>
    <row r="1515" spans="2:2">
      <c r="B1515" s="57"/>
    </row>
    <row r="1516" spans="2:2">
      <c r="B1516" s="57"/>
    </row>
    <row r="1517" spans="2:2">
      <c r="B1517" s="57"/>
    </row>
    <row r="1518" spans="2:2">
      <c r="B1518" s="57"/>
    </row>
    <row r="1519" spans="2:2">
      <c r="B1519" s="57"/>
    </row>
    <row r="1520" spans="2:2">
      <c r="B1520" s="57"/>
    </row>
    <row r="1521" spans="2:2">
      <c r="B1521" s="57"/>
    </row>
    <row r="1522" spans="2:2">
      <c r="B1522" s="57"/>
    </row>
    <row r="1523" spans="2:2">
      <c r="B1523" s="57"/>
    </row>
    <row r="1524" spans="2:2">
      <c r="B1524" s="57"/>
    </row>
    <row r="1525" spans="2:2">
      <c r="B1525" s="57"/>
    </row>
    <row r="1526" spans="2:2">
      <c r="B1526" s="57"/>
    </row>
    <row r="1527" spans="2:2">
      <c r="B1527" s="57"/>
    </row>
    <row r="1528" spans="2:2">
      <c r="B1528" s="57"/>
    </row>
    <row r="1529" spans="2:2">
      <c r="B1529" s="57"/>
    </row>
    <row r="1530" spans="2:2">
      <c r="B1530" s="57"/>
    </row>
    <row r="1531" spans="2:2">
      <c r="B1531" s="57"/>
    </row>
    <row r="1532" spans="2:2">
      <c r="B1532" s="57"/>
    </row>
    <row r="1533" spans="2:2">
      <c r="B1533" s="57"/>
    </row>
    <row r="1534" spans="2:2">
      <c r="B1534" s="57"/>
    </row>
    <row r="1535" spans="2:2">
      <c r="B1535" s="57"/>
    </row>
    <row r="1536" spans="2:2">
      <c r="B1536" s="57"/>
    </row>
    <row r="1537" spans="2:2">
      <c r="B1537" s="57"/>
    </row>
    <row r="1538" spans="2:2">
      <c r="B1538" s="57"/>
    </row>
    <row r="1539" spans="2:2">
      <c r="B1539" s="57"/>
    </row>
    <row r="1540" spans="2:2">
      <c r="B1540" s="57"/>
    </row>
    <row r="1541" spans="2:2">
      <c r="B1541" s="57"/>
    </row>
    <row r="1542" spans="2:2">
      <c r="B1542" s="57"/>
    </row>
    <row r="1543" spans="2:2">
      <c r="B1543" s="57"/>
    </row>
    <row r="1544" spans="2:2">
      <c r="B1544" s="57"/>
    </row>
    <row r="1545" spans="2:2">
      <c r="B1545" s="57"/>
    </row>
    <row r="1546" spans="2:2">
      <c r="B1546" s="57"/>
    </row>
    <row r="1547" spans="2:2">
      <c r="B1547" s="57"/>
    </row>
    <row r="1548" spans="2:2">
      <c r="B1548" s="57"/>
    </row>
    <row r="1549" spans="2:2">
      <c r="B1549" s="57"/>
    </row>
    <row r="1550" spans="2:2">
      <c r="B1550" s="57"/>
    </row>
    <row r="1551" spans="2:2">
      <c r="B1551" s="57"/>
    </row>
    <row r="1552" spans="2:2">
      <c r="B1552" s="57"/>
    </row>
    <row r="1553" spans="2:2">
      <c r="B1553" s="57"/>
    </row>
    <row r="1554" spans="2:2">
      <c r="B1554" s="57"/>
    </row>
    <row r="1555" spans="2:2">
      <c r="B1555" s="57"/>
    </row>
    <row r="1556" spans="2:2">
      <c r="B1556" s="57"/>
    </row>
    <row r="1557" spans="2:2">
      <c r="B1557" s="57"/>
    </row>
    <row r="1558" spans="2:2">
      <c r="B1558" s="57"/>
    </row>
    <row r="1559" spans="2:2">
      <c r="B1559" s="57"/>
    </row>
    <row r="1560" spans="2:2">
      <c r="B1560" s="57"/>
    </row>
    <row r="1561" spans="2:2">
      <c r="B1561" s="57"/>
    </row>
    <row r="1562" spans="2:2">
      <c r="B1562" s="57"/>
    </row>
    <row r="1563" spans="2:2">
      <c r="B1563" s="57"/>
    </row>
    <row r="1564" spans="2:2">
      <c r="B1564" s="57"/>
    </row>
    <row r="1565" spans="2:2">
      <c r="B1565" s="57"/>
    </row>
    <row r="1566" spans="2:2">
      <c r="B1566" s="57"/>
    </row>
    <row r="1567" spans="2:2">
      <c r="B1567" s="57"/>
    </row>
    <row r="1568" spans="2:2">
      <c r="B1568" s="57"/>
    </row>
    <row r="1569" spans="2:2">
      <c r="B1569" s="57"/>
    </row>
    <row r="1570" spans="2:2">
      <c r="B1570" s="57"/>
    </row>
    <row r="1571" spans="2:2">
      <c r="B1571" s="57"/>
    </row>
    <row r="1572" spans="2:2">
      <c r="B1572" s="57"/>
    </row>
    <row r="1573" spans="2:2">
      <c r="B1573" s="57"/>
    </row>
    <row r="1574" spans="2:2">
      <c r="B1574" s="57"/>
    </row>
    <row r="1575" spans="2:2">
      <c r="B1575" s="57"/>
    </row>
    <row r="1576" spans="2:2">
      <c r="B1576" s="57"/>
    </row>
    <row r="1577" spans="2:2">
      <c r="B1577" s="57"/>
    </row>
    <row r="1578" spans="2:2">
      <c r="B1578" s="57"/>
    </row>
    <row r="1579" spans="2:2">
      <c r="B1579" s="57"/>
    </row>
    <row r="1580" spans="2:2">
      <c r="B1580" s="57"/>
    </row>
    <row r="1581" spans="2:2">
      <c r="B1581" s="57"/>
    </row>
    <row r="1582" spans="2:2">
      <c r="B1582" s="57"/>
    </row>
    <row r="1583" spans="2:2">
      <c r="B1583" s="57"/>
    </row>
    <row r="1584" spans="2:2">
      <c r="B1584" s="57"/>
    </row>
    <row r="1585" spans="2:2">
      <c r="B1585" s="57"/>
    </row>
    <row r="1586" spans="2:2">
      <c r="B1586" s="57"/>
    </row>
    <row r="1587" spans="2:2">
      <c r="B1587" s="57"/>
    </row>
    <row r="1588" spans="2:2">
      <c r="B1588" s="57"/>
    </row>
    <row r="1589" spans="2:2">
      <c r="B1589" s="57"/>
    </row>
    <row r="1590" spans="2:2">
      <c r="B1590" s="57"/>
    </row>
    <row r="1591" spans="2:2">
      <c r="B1591" s="57"/>
    </row>
    <row r="1592" spans="2:2">
      <c r="B1592" s="57"/>
    </row>
    <row r="1593" spans="2:2">
      <c r="B1593" s="57"/>
    </row>
    <row r="1594" spans="2:2">
      <c r="B1594" s="57"/>
    </row>
    <row r="1595" spans="2:2">
      <c r="B1595" s="57"/>
    </row>
    <row r="1596" spans="2:2">
      <c r="B1596" s="57"/>
    </row>
    <row r="1597" spans="2:2">
      <c r="B1597" s="57"/>
    </row>
    <row r="1598" spans="2:2">
      <c r="B1598" s="57"/>
    </row>
    <row r="1599" spans="2:2">
      <c r="B1599" s="57"/>
    </row>
    <row r="1600" spans="2:2">
      <c r="B1600" s="57"/>
    </row>
    <row r="1601" spans="2:2">
      <c r="B1601" s="57"/>
    </row>
    <row r="1602" spans="2:2">
      <c r="B1602" s="57"/>
    </row>
    <row r="1603" spans="2:2">
      <c r="B1603" s="57"/>
    </row>
    <row r="1604" spans="2:2">
      <c r="B1604" s="57"/>
    </row>
    <row r="1605" spans="2:2">
      <c r="B1605" s="57"/>
    </row>
    <row r="1606" spans="2:2">
      <c r="B1606" s="57"/>
    </row>
    <row r="1607" spans="2:2">
      <c r="B1607" s="57"/>
    </row>
    <row r="1608" spans="2:2">
      <c r="B1608" s="57"/>
    </row>
    <row r="1609" spans="2:2">
      <c r="B1609" s="57"/>
    </row>
    <row r="1610" spans="2:2">
      <c r="B1610" s="57"/>
    </row>
    <row r="1611" spans="2:2">
      <c r="B1611" s="57"/>
    </row>
    <row r="1612" spans="2:2">
      <c r="B1612" s="57"/>
    </row>
    <row r="1613" spans="2:2">
      <c r="B1613" s="57"/>
    </row>
    <row r="1614" spans="2:2">
      <c r="B1614" s="57"/>
    </row>
    <row r="1615" spans="2:2">
      <c r="B1615" s="57"/>
    </row>
    <row r="1616" spans="2:2">
      <c r="B1616" s="57"/>
    </row>
    <row r="1617" spans="2:2">
      <c r="B1617" s="57"/>
    </row>
    <row r="1618" spans="2:2">
      <c r="B1618" s="57"/>
    </row>
    <row r="1619" spans="2:2">
      <c r="B1619" s="57"/>
    </row>
    <row r="1620" spans="2:2">
      <c r="B1620" s="57"/>
    </row>
    <row r="1621" spans="2:2">
      <c r="B1621" s="57"/>
    </row>
    <row r="1622" spans="2:2">
      <c r="B1622" s="57"/>
    </row>
    <row r="1623" spans="2:2">
      <c r="B1623" s="57"/>
    </row>
    <row r="1624" spans="2:2">
      <c r="B1624" s="57"/>
    </row>
    <row r="1625" spans="2:2">
      <c r="B1625" s="57"/>
    </row>
    <row r="1626" spans="2:2">
      <c r="B1626" s="57"/>
    </row>
    <row r="1627" spans="2:2">
      <c r="B1627" s="57"/>
    </row>
    <row r="1628" spans="2:2">
      <c r="B1628" s="57"/>
    </row>
    <row r="1629" spans="2:2">
      <c r="B1629" s="57"/>
    </row>
    <row r="1630" spans="2:2">
      <c r="B1630" s="57"/>
    </row>
    <row r="1631" spans="2:2">
      <c r="B1631" s="57"/>
    </row>
    <row r="1632" spans="2:2">
      <c r="B1632" s="57"/>
    </row>
    <row r="1633" spans="2:2">
      <c r="B1633" s="57"/>
    </row>
    <row r="1634" spans="2:2">
      <c r="B1634" s="57"/>
    </row>
    <row r="1635" spans="2:2">
      <c r="B1635" s="57"/>
    </row>
    <row r="1636" spans="2:2">
      <c r="B1636" s="57"/>
    </row>
    <row r="1637" spans="2:2">
      <c r="B1637" s="57"/>
    </row>
    <row r="1638" spans="2:2">
      <c r="B1638" s="57"/>
    </row>
    <row r="1639" spans="2:2">
      <c r="B1639" s="57"/>
    </row>
    <row r="1640" spans="2:2">
      <c r="B1640" s="57"/>
    </row>
    <row r="1641" spans="2:2">
      <c r="B1641" s="57"/>
    </row>
    <row r="1642" spans="2:2">
      <c r="B1642" s="57"/>
    </row>
    <row r="1643" spans="2:2">
      <c r="B1643" s="57"/>
    </row>
    <row r="1644" spans="2:2">
      <c r="B1644" s="57"/>
    </row>
    <row r="1645" spans="2:2">
      <c r="B1645" s="57"/>
    </row>
    <row r="1646" spans="2:2">
      <c r="B1646" s="57"/>
    </row>
    <row r="1647" spans="2:2">
      <c r="B1647" s="57"/>
    </row>
    <row r="1648" spans="2:2">
      <c r="B1648" s="57"/>
    </row>
    <row r="1649" spans="2:2">
      <c r="B1649" s="57"/>
    </row>
    <row r="1650" spans="2:2">
      <c r="B1650" s="57"/>
    </row>
    <row r="1651" spans="2:2">
      <c r="B1651" s="57"/>
    </row>
    <row r="1652" spans="2:2">
      <c r="B1652" s="57"/>
    </row>
    <row r="1653" spans="2:2">
      <c r="B1653" s="57"/>
    </row>
    <row r="1654" spans="2:2">
      <c r="B1654" s="57"/>
    </row>
    <row r="1655" spans="2:2">
      <c r="B1655" s="57"/>
    </row>
    <row r="1656" spans="2:2">
      <c r="B1656" s="57"/>
    </row>
    <row r="1657" spans="2:2">
      <c r="B1657" s="57"/>
    </row>
    <row r="1658" spans="2:2">
      <c r="B1658" s="57"/>
    </row>
    <row r="1659" spans="2:2">
      <c r="B1659" s="57"/>
    </row>
    <row r="1660" spans="2:2">
      <c r="B1660" s="57"/>
    </row>
    <row r="1661" spans="2:2">
      <c r="B1661" s="57"/>
    </row>
    <row r="1662" spans="2:2">
      <c r="B1662" s="57"/>
    </row>
    <row r="1663" spans="2:2">
      <c r="B1663" s="57"/>
    </row>
    <row r="1664" spans="2:2">
      <c r="B1664" s="57"/>
    </row>
    <row r="1665" spans="2:2">
      <c r="B1665" s="57"/>
    </row>
    <row r="1666" spans="2:2">
      <c r="B1666" s="57"/>
    </row>
    <row r="1667" spans="2:2">
      <c r="B1667" s="57"/>
    </row>
    <row r="1668" spans="2:2">
      <c r="B1668" s="57"/>
    </row>
    <row r="1669" spans="2:2">
      <c r="B1669" s="57"/>
    </row>
    <row r="1670" spans="2:2">
      <c r="B1670" s="57"/>
    </row>
    <row r="1671" spans="2:2">
      <c r="B1671" s="57"/>
    </row>
    <row r="1672" spans="2:2">
      <c r="B1672" s="57"/>
    </row>
    <row r="1673" spans="2:2">
      <c r="B1673" s="57"/>
    </row>
    <row r="1674" spans="2:2">
      <c r="B1674" s="57"/>
    </row>
    <row r="1675" spans="2:2">
      <c r="B1675" s="57"/>
    </row>
    <row r="1676" spans="2:2">
      <c r="B1676" s="57"/>
    </row>
    <row r="1677" spans="2:2">
      <c r="B1677" s="57"/>
    </row>
    <row r="1678" spans="2:2">
      <c r="B1678" s="57"/>
    </row>
    <row r="1679" spans="2:2">
      <c r="B1679" s="57"/>
    </row>
    <row r="1680" spans="2:2">
      <c r="B1680" s="57"/>
    </row>
    <row r="1681" spans="2:2">
      <c r="B1681" s="57"/>
    </row>
    <row r="1682" spans="2:2">
      <c r="B1682" s="57"/>
    </row>
    <row r="1683" spans="2:2">
      <c r="B1683" s="57"/>
    </row>
    <row r="1684" spans="2:2">
      <c r="B1684" s="57"/>
    </row>
    <row r="1685" spans="2:2">
      <c r="B1685" s="57"/>
    </row>
    <row r="1686" spans="2:2">
      <c r="B1686" s="57"/>
    </row>
    <row r="1687" spans="2:2">
      <c r="B1687" s="57"/>
    </row>
    <row r="1688" spans="2:2">
      <c r="B1688" s="57"/>
    </row>
    <row r="1689" spans="2:2">
      <c r="B1689" s="57"/>
    </row>
    <row r="1690" spans="2:2">
      <c r="B1690" s="57"/>
    </row>
    <row r="1691" spans="2:2">
      <c r="B1691" s="57"/>
    </row>
    <row r="1692" spans="2:2">
      <c r="B1692" s="57"/>
    </row>
    <row r="1693" spans="2:2">
      <c r="B1693" s="57"/>
    </row>
    <row r="1694" spans="2:2">
      <c r="B1694" s="57"/>
    </row>
    <row r="1695" spans="2:2">
      <c r="B1695" s="57"/>
    </row>
    <row r="1696" spans="2:2">
      <c r="B1696" s="57"/>
    </row>
    <row r="1697" spans="2:2">
      <c r="B1697" s="57"/>
    </row>
    <row r="1698" spans="2:2">
      <c r="B1698" s="57"/>
    </row>
    <row r="1699" spans="2:2">
      <c r="B1699" s="57"/>
    </row>
    <row r="1700" spans="2:2">
      <c r="B1700" s="57"/>
    </row>
    <row r="1701" spans="2:2">
      <c r="B1701" s="57"/>
    </row>
    <row r="1702" spans="2:2">
      <c r="B1702" s="57"/>
    </row>
    <row r="1703" spans="2:2">
      <c r="B1703" s="57"/>
    </row>
    <row r="1704" spans="2:2">
      <c r="B1704" s="57"/>
    </row>
    <row r="1705" spans="2:2">
      <c r="B1705" s="57"/>
    </row>
    <row r="1706" spans="2:2">
      <c r="B1706" s="57"/>
    </row>
    <row r="1707" spans="2:2">
      <c r="B1707" s="57"/>
    </row>
    <row r="1708" spans="2:2">
      <c r="B1708" s="57"/>
    </row>
    <row r="1709" spans="2:2">
      <c r="B1709" s="57"/>
    </row>
    <row r="1710" spans="2:2">
      <c r="B1710" s="57"/>
    </row>
    <row r="1711" spans="2:2">
      <c r="B1711" s="57"/>
    </row>
    <row r="1712" spans="2:2">
      <c r="B1712" s="57"/>
    </row>
    <row r="1713" spans="2:2">
      <c r="B1713" s="57"/>
    </row>
    <row r="1714" spans="2:2">
      <c r="B1714" s="57"/>
    </row>
    <row r="1715" spans="2:2">
      <c r="B1715" s="57"/>
    </row>
    <row r="1716" spans="2:2">
      <c r="B1716" s="57"/>
    </row>
    <row r="1717" spans="2:2">
      <c r="B1717" s="57"/>
    </row>
    <row r="1718" spans="2:2">
      <c r="B1718" s="57"/>
    </row>
    <row r="1719" spans="2:2">
      <c r="B1719" s="57"/>
    </row>
    <row r="1720" spans="2:2">
      <c r="B1720" s="57"/>
    </row>
    <row r="1721" spans="2:2">
      <c r="B1721" s="57"/>
    </row>
    <row r="1722" spans="2:2">
      <c r="B1722" s="57"/>
    </row>
    <row r="1723" spans="2:2">
      <c r="B1723" s="57"/>
    </row>
    <row r="1724" spans="2:2">
      <c r="B1724" s="57"/>
    </row>
    <row r="1725" spans="2:2">
      <c r="B1725" s="57"/>
    </row>
    <row r="1726" spans="2:2">
      <c r="B1726" s="57"/>
    </row>
    <row r="1727" spans="2:2">
      <c r="B1727" s="57"/>
    </row>
    <row r="1728" spans="2:2">
      <c r="B1728" s="57"/>
    </row>
    <row r="1729" spans="2:2">
      <c r="B1729" s="57"/>
    </row>
    <row r="1730" spans="2:2">
      <c r="B1730" s="57"/>
    </row>
    <row r="1731" spans="2:2">
      <c r="B1731" s="57"/>
    </row>
    <row r="1732" spans="2:2">
      <c r="B1732" s="57"/>
    </row>
    <row r="1733" spans="2:2">
      <c r="B1733" s="57"/>
    </row>
    <row r="1734" spans="2:2">
      <c r="B1734" s="57"/>
    </row>
    <row r="1735" spans="2:2">
      <c r="B1735" s="57"/>
    </row>
    <row r="1736" spans="2:2">
      <c r="B1736" s="57"/>
    </row>
    <row r="1737" spans="2:2">
      <c r="B1737" s="57"/>
    </row>
    <row r="1738" spans="2:2">
      <c r="B1738" s="57"/>
    </row>
    <row r="1739" spans="2:2">
      <c r="B1739" s="57"/>
    </row>
    <row r="1740" spans="2:2">
      <c r="B1740" s="57"/>
    </row>
    <row r="1741" spans="2:2">
      <c r="B1741" s="57"/>
    </row>
    <row r="1742" spans="2:2">
      <c r="B1742" s="57"/>
    </row>
    <row r="1743" spans="2:2">
      <c r="B1743" s="57"/>
    </row>
    <row r="1744" spans="2:2">
      <c r="B1744" s="57"/>
    </row>
    <row r="1745" spans="2:2">
      <c r="B1745" s="57"/>
    </row>
    <row r="1746" spans="2:2">
      <c r="B1746" s="57"/>
    </row>
    <row r="1747" spans="2:2">
      <c r="B1747" s="57"/>
    </row>
    <row r="1748" spans="2:2">
      <c r="B1748" s="57"/>
    </row>
    <row r="1749" spans="2:2">
      <c r="B1749" s="57"/>
    </row>
    <row r="1750" spans="2:2">
      <c r="B1750" s="57"/>
    </row>
    <row r="1751" spans="2:2">
      <c r="B1751" s="57"/>
    </row>
    <row r="1752" spans="2:2">
      <c r="B1752" s="57"/>
    </row>
    <row r="1753" spans="2:2">
      <c r="B1753" s="57"/>
    </row>
    <row r="1754" spans="2:2">
      <c r="B1754" s="57"/>
    </row>
    <row r="1755" spans="2:2">
      <c r="B1755" s="57"/>
    </row>
    <row r="1756" spans="2:2">
      <c r="B1756" s="57"/>
    </row>
    <row r="1757" spans="2:2">
      <c r="B1757" s="57"/>
    </row>
    <row r="1758" spans="2:2">
      <c r="B1758" s="57"/>
    </row>
    <row r="1759" spans="2:2">
      <c r="B1759" s="57"/>
    </row>
    <row r="1760" spans="2:2">
      <c r="B1760" s="57"/>
    </row>
    <row r="1761" spans="2:2">
      <c r="B1761" s="57"/>
    </row>
    <row r="1762" spans="2:2">
      <c r="B1762" s="57"/>
    </row>
    <row r="1763" spans="2:2">
      <c r="B1763" s="57"/>
    </row>
    <row r="1764" spans="2:2">
      <c r="B1764" s="57"/>
    </row>
    <row r="1765" spans="2:2">
      <c r="B1765" s="57"/>
    </row>
    <row r="1766" spans="2:2">
      <c r="B1766" s="57"/>
    </row>
    <row r="1767" spans="2:2">
      <c r="B1767" s="57"/>
    </row>
    <row r="1768" spans="2:2">
      <c r="B1768" s="57"/>
    </row>
    <row r="1769" spans="2:2">
      <c r="B1769" s="57"/>
    </row>
    <row r="1770" spans="2:2">
      <c r="B1770" s="57"/>
    </row>
    <row r="1771" spans="2:2">
      <c r="B1771" s="57"/>
    </row>
    <row r="1772" spans="2:2">
      <c r="B1772" s="57"/>
    </row>
    <row r="1773" spans="2:2">
      <c r="B1773" s="57"/>
    </row>
    <row r="1774" spans="2:2">
      <c r="B1774" s="57"/>
    </row>
    <row r="1775" spans="2:2">
      <c r="B1775" s="57"/>
    </row>
    <row r="1776" spans="2:2">
      <c r="B1776" s="57"/>
    </row>
    <row r="1777" spans="2:2">
      <c r="B1777" s="57"/>
    </row>
    <row r="1778" spans="2:2">
      <c r="B1778" s="57"/>
    </row>
    <row r="1779" spans="2:2">
      <c r="B1779" s="57"/>
    </row>
    <row r="1780" spans="2:2">
      <c r="B1780" s="57"/>
    </row>
    <row r="1781" spans="2:2">
      <c r="B1781" s="57"/>
    </row>
    <row r="1782" spans="2:2">
      <c r="B1782" s="57"/>
    </row>
    <row r="1783" spans="2:2">
      <c r="B1783" s="57"/>
    </row>
    <row r="1784" spans="2:2">
      <c r="B1784" s="57"/>
    </row>
    <row r="1785" spans="2:2">
      <c r="B1785" s="57"/>
    </row>
    <row r="1786" spans="2:2">
      <c r="B1786" s="57"/>
    </row>
    <row r="1787" spans="2:2">
      <c r="B1787" s="57"/>
    </row>
    <row r="1788" spans="2:2">
      <c r="B1788" s="57"/>
    </row>
    <row r="1789" spans="2:2">
      <c r="B1789" s="57"/>
    </row>
    <row r="1790" spans="2:2">
      <c r="B1790" s="57"/>
    </row>
    <row r="1791" spans="2:2">
      <c r="B1791" s="57"/>
    </row>
    <row r="1792" spans="2:2">
      <c r="B1792" s="57"/>
    </row>
    <row r="1793" spans="2:2">
      <c r="B1793" s="57"/>
    </row>
    <row r="1794" spans="2:2">
      <c r="B1794" s="57"/>
    </row>
    <row r="1795" spans="2:2">
      <c r="B1795" s="57"/>
    </row>
    <row r="1796" spans="2:2">
      <c r="B1796" s="57"/>
    </row>
    <row r="1797" spans="2:2">
      <c r="B1797" s="57"/>
    </row>
    <row r="1798" spans="2:2">
      <c r="B1798" s="57"/>
    </row>
    <row r="1799" spans="2:2">
      <c r="B1799" s="57"/>
    </row>
    <row r="1800" spans="2:2">
      <c r="B1800" s="57"/>
    </row>
    <row r="1801" spans="2:2">
      <c r="B1801" s="57"/>
    </row>
    <row r="1802" spans="2:2">
      <c r="B1802" s="57"/>
    </row>
    <row r="1803" spans="2:2">
      <c r="B1803" s="57"/>
    </row>
    <row r="1804" spans="2:2">
      <c r="B1804" s="57"/>
    </row>
    <row r="1805" spans="2:2">
      <c r="B1805" s="57"/>
    </row>
    <row r="1806" spans="2:2">
      <c r="B1806" s="57"/>
    </row>
    <row r="1807" spans="2:2">
      <c r="B1807" s="57"/>
    </row>
    <row r="1808" spans="2:2">
      <c r="B1808" s="57"/>
    </row>
    <row r="1809" spans="2:2">
      <c r="B1809" s="57"/>
    </row>
    <row r="1810" spans="2:2">
      <c r="B1810" s="57"/>
    </row>
    <row r="1811" spans="2:2">
      <c r="B1811" s="57"/>
    </row>
    <row r="1812" spans="2:2">
      <c r="B1812" s="57"/>
    </row>
    <row r="1813" spans="2:2">
      <c r="B1813" s="57"/>
    </row>
    <row r="1814" spans="2:2">
      <c r="B1814" s="57"/>
    </row>
    <row r="1815" spans="2:2">
      <c r="B1815" s="57"/>
    </row>
    <row r="1816" spans="2:2">
      <c r="B1816" s="57"/>
    </row>
    <row r="1817" spans="2:2">
      <c r="B1817" s="57"/>
    </row>
    <row r="1818" spans="2:2">
      <c r="B1818" s="57"/>
    </row>
    <row r="1819" spans="2:2">
      <c r="B1819" s="57"/>
    </row>
    <row r="1820" spans="2:2">
      <c r="B1820" s="57"/>
    </row>
    <row r="1821" spans="2:2">
      <c r="B1821" s="57"/>
    </row>
    <row r="1822" spans="2:2">
      <c r="B1822" s="57"/>
    </row>
    <row r="1823" spans="2:2">
      <c r="B1823" s="57"/>
    </row>
    <row r="1824" spans="2:2">
      <c r="B1824" s="57"/>
    </row>
    <row r="1825" spans="2:2">
      <c r="B1825" s="57"/>
    </row>
    <row r="1826" spans="2:2">
      <c r="B1826" s="57"/>
    </row>
    <row r="1827" spans="2:2">
      <c r="B1827" s="57"/>
    </row>
    <row r="1828" spans="2:2">
      <c r="B1828" s="57"/>
    </row>
    <row r="1829" spans="2:2">
      <c r="B1829" s="57"/>
    </row>
    <row r="1830" spans="2:2">
      <c r="B1830" s="57"/>
    </row>
    <row r="1831" spans="2:2">
      <c r="B1831" s="57"/>
    </row>
    <row r="1832" spans="2:2">
      <c r="B1832" s="57"/>
    </row>
    <row r="1833" spans="2:2">
      <c r="B1833" s="57"/>
    </row>
    <row r="1834" spans="2:2">
      <c r="B1834" s="57"/>
    </row>
    <row r="1835" spans="2:2">
      <c r="B1835" s="57"/>
    </row>
    <row r="1836" spans="2:2">
      <c r="B1836" s="57"/>
    </row>
    <row r="1837" spans="2:2">
      <c r="B1837" s="57"/>
    </row>
    <row r="1838" spans="2:2">
      <c r="B1838" s="57"/>
    </row>
    <row r="1839" spans="2:2">
      <c r="B1839" s="57"/>
    </row>
    <row r="1840" spans="2:2">
      <c r="B1840" s="57"/>
    </row>
    <row r="1841" spans="2:2">
      <c r="B1841" s="57"/>
    </row>
    <row r="1842" spans="2:2">
      <c r="B1842" s="57"/>
    </row>
    <row r="1843" spans="2:2">
      <c r="B1843" s="57"/>
    </row>
    <row r="1844" spans="2:2">
      <c r="B1844" s="57"/>
    </row>
    <row r="1845" spans="2:2">
      <c r="B1845" s="57"/>
    </row>
    <row r="1846" spans="2:2">
      <c r="B1846" s="57"/>
    </row>
    <row r="1847" spans="2:2">
      <c r="B1847" s="57"/>
    </row>
    <row r="1848" spans="2:2">
      <c r="B1848" s="57"/>
    </row>
    <row r="1849" spans="2:2">
      <c r="B1849" s="57"/>
    </row>
    <row r="1850" spans="2:2">
      <c r="B1850" s="57"/>
    </row>
    <row r="1851" spans="2:2">
      <c r="B1851" s="57"/>
    </row>
    <row r="1852" spans="2:2">
      <c r="B1852" s="57"/>
    </row>
    <row r="1853" spans="2:2">
      <c r="B1853" s="57"/>
    </row>
    <row r="1854" spans="2:2">
      <c r="B1854" s="57"/>
    </row>
    <row r="1855" spans="2:2">
      <c r="B1855" s="57"/>
    </row>
    <row r="1856" spans="2:2">
      <c r="B1856" s="57"/>
    </row>
    <row r="1857" spans="2:2">
      <c r="B1857" s="57"/>
    </row>
    <row r="1858" spans="2:2">
      <c r="B1858" s="57"/>
    </row>
    <row r="1859" spans="2:2">
      <c r="B1859" s="57"/>
    </row>
    <row r="1860" spans="2:2">
      <c r="B1860" s="57"/>
    </row>
    <row r="1861" spans="2:2">
      <c r="B1861" s="57"/>
    </row>
    <row r="1862" spans="2:2">
      <c r="B1862" s="57"/>
    </row>
    <row r="1863" spans="2:2">
      <c r="B1863" s="57"/>
    </row>
    <row r="1864" spans="2:2">
      <c r="B1864" s="57"/>
    </row>
    <row r="1865" spans="2:2">
      <c r="B1865" s="57"/>
    </row>
    <row r="1866" spans="2:2">
      <c r="B1866" s="57"/>
    </row>
    <row r="1867" spans="2:2">
      <c r="B1867" s="57"/>
    </row>
    <row r="1868" spans="2:2">
      <c r="B1868" s="57"/>
    </row>
    <row r="1869" spans="2:2">
      <c r="B1869" s="57"/>
    </row>
    <row r="1870" spans="2:2">
      <c r="B1870" s="57"/>
    </row>
    <row r="1871" spans="2:2">
      <c r="B1871" s="57"/>
    </row>
    <row r="1872" spans="2:2">
      <c r="B1872" s="57"/>
    </row>
    <row r="1873" spans="2:2">
      <c r="B1873" s="57"/>
    </row>
    <row r="1874" spans="2:2">
      <c r="B1874" s="57"/>
    </row>
    <row r="1875" spans="2:2">
      <c r="B1875" s="57"/>
    </row>
    <row r="1876" spans="2:2">
      <c r="B1876" s="57"/>
    </row>
    <row r="1877" spans="2:2">
      <c r="B1877" s="57"/>
    </row>
    <row r="1878" spans="2:2">
      <c r="B1878" s="57"/>
    </row>
    <row r="1879" spans="2:2">
      <c r="B1879" s="57"/>
    </row>
    <row r="1880" spans="2:2">
      <c r="B1880" s="57"/>
    </row>
    <row r="1881" spans="2:2">
      <c r="B1881" s="57"/>
    </row>
    <row r="1882" spans="2:2">
      <c r="B1882" s="57"/>
    </row>
    <row r="1883" spans="2:2">
      <c r="B1883" s="57"/>
    </row>
  </sheetData>
  <sheetProtection algorithmName="SHA-512" hashValue="GR4ilMyWuYZ7L9dQ67Ky1870q05yiKAW05fHJxcam0kiFP8sA6EYUuPrt9yXWp2FOqkqGijngXfDxLqQSymkqQ==" saltValue="1qgoFfO011WO31xX7bZTHA==" spinCount="100000"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0"/>
  </sheetPr>
  <dimension ref="A1:S15"/>
  <sheetViews>
    <sheetView workbookViewId="0">
      <selection activeCell="C16" sqref="C16"/>
    </sheetView>
  </sheetViews>
  <sheetFormatPr defaultColWidth="11.42578125" defaultRowHeight="13.15"/>
  <cols>
    <col min="1" max="1" width="64.7109375" style="17" customWidth="1"/>
    <col min="2" max="2" width="20.28515625" style="18" customWidth="1"/>
    <col min="3" max="3" width="7.140625" style="14" customWidth="1"/>
    <col min="4" max="4" width="18" style="14" customWidth="1"/>
    <col min="5" max="5" width="7" style="14" customWidth="1"/>
    <col min="6" max="6" width="14.7109375" style="14" customWidth="1"/>
    <col min="7" max="7" width="9.5703125" style="14" customWidth="1"/>
    <col min="8" max="16384" width="11.42578125" style="14"/>
  </cols>
  <sheetData>
    <row r="1" spans="1:19" ht="30.75" customHeight="1">
      <c r="A1" s="234" t="s">
        <v>1134</v>
      </c>
      <c r="B1" s="234"/>
      <c r="C1" s="234"/>
      <c r="D1" s="234"/>
      <c r="E1" s="234"/>
      <c r="F1" s="234"/>
      <c r="G1" s="234"/>
    </row>
    <row r="2" spans="1:19" s="16" customFormat="1" ht="15.75" customHeight="1">
      <c r="A2" s="21" t="s">
        <v>2</v>
      </c>
      <c r="B2" s="235" t="str">
        <f>'Carta descriptiva'!B4:J4</f>
        <v>Simulación para sistemas interactivos</v>
      </c>
      <c r="C2" s="235"/>
      <c r="D2" s="235"/>
      <c r="E2" s="235"/>
      <c r="F2" s="235"/>
      <c r="G2" s="235"/>
      <c r="H2" s="15"/>
      <c r="I2" s="15"/>
      <c r="J2" s="15"/>
      <c r="K2" s="15"/>
      <c r="L2" s="15"/>
      <c r="M2" s="15"/>
      <c r="N2" s="15"/>
      <c r="O2" s="15"/>
      <c r="P2" s="15"/>
      <c r="Q2" s="15"/>
      <c r="R2" s="15"/>
      <c r="S2" s="15"/>
    </row>
    <row r="3" spans="1:19" s="13" customFormat="1" ht="15" customHeight="1">
      <c r="A3" s="8" t="s">
        <v>1135</v>
      </c>
      <c r="B3" s="236" t="str">
        <f>'Carta descriptiva'!B25:J25</f>
        <v xml:space="preserve">El objeto de este curso es la construcción de aplicaciones interactivas que utilicen y resuelvan modelos matemáticos y físicos para la solución de problemas en el entretenimiento digital </v>
      </c>
      <c r="C3" s="236"/>
      <c r="D3" s="236"/>
      <c r="E3" s="236"/>
      <c r="F3" s="236"/>
      <c r="G3" s="236"/>
    </row>
    <row r="4" spans="1:19" s="13" customFormat="1">
      <c r="A4" s="8" t="s">
        <v>1136</v>
      </c>
      <c r="B4" s="231">
        <f>'Carta descriptiva'!C12</f>
        <v>2</v>
      </c>
      <c r="C4" s="232"/>
      <c r="D4" s="232"/>
      <c r="E4" s="232"/>
      <c r="F4" s="232"/>
      <c r="G4" s="233"/>
    </row>
    <row r="5" spans="1:19" s="13" customFormat="1">
      <c r="A5" s="8" t="s">
        <v>1137</v>
      </c>
      <c r="B5" s="231">
        <f>'Carta descriptiva'!B15+'Carta descriptiva'!D15</f>
        <v>64</v>
      </c>
      <c r="C5" s="232"/>
      <c r="D5" s="232"/>
      <c r="E5" s="232"/>
      <c r="F5" s="232"/>
      <c r="G5" s="233"/>
    </row>
    <row r="6" spans="1:19" s="13" customFormat="1">
      <c r="A6" s="8" t="s">
        <v>1138</v>
      </c>
      <c r="B6" s="231">
        <f>'Carta descriptiva'!G15</f>
        <v>32</v>
      </c>
      <c r="C6" s="232"/>
      <c r="D6" s="232"/>
      <c r="E6" s="232"/>
      <c r="F6" s="232"/>
      <c r="G6" s="233"/>
    </row>
    <row r="7" spans="1:19" s="13" customFormat="1">
      <c r="A7" s="9" t="s">
        <v>1139</v>
      </c>
      <c r="B7" s="236" t="str">
        <f>'Carta descriptiva'!B26:J26</f>
        <v xml:space="preserve">El curso busca que el estudiante aprenda la aplicación de los modelos matemáticos y físicos para la solución de problemas del entretenimiento digital en la construcción de aplicaciones interactivas. </v>
      </c>
      <c r="C7" s="236"/>
      <c r="D7" s="236"/>
      <c r="E7" s="236"/>
      <c r="F7" s="236"/>
      <c r="G7" s="236"/>
    </row>
    <row r="8" spans="1:19" s="13" customFormat="1">
      <c r="A8" s="10" t="s">
        <v>1140</v>
      </c>
      <c r="B8" s="238" t="str">
        <f>'Carta descriptiva'!B27:J27</f>
        <v>Se forma para el desempeño profesional con conocimientos, procedimientos y actitudes que le permitan conceptualizar, diseñar, implementar y operar sistemas para y basados en el entretenimiento digital</v>
      </c>
      <c r="C8" s="238"/>
      <c r="D8" s="238"/>
      <c r="E8" s="238"/>
      <c r="F8" s="238"/>
      <c r="G8" s="238"/>
    </row>
    <row r="9" spans="1:19" s="13" customFormat="1" ht="25.5" customHeight="1">
      <c r="A9" s="7" t="s">
        <v>1141</v>
      </c>
      <c r="B9" s="212" t="str">
        <f>'Carta descriptiva'!B55:J55</f>
        <v>La modalidad del curso es presencial. Se trabaja una metodología de aula invertida. En las clases presenciales, los estudiantes trabajan  de manera individual y en grupo para resolver ejercicios y problemas. En el tiempo autónomo se proponen lecturas para complementar el trabajo en clase.</v>
      </c>
      <c r="C9" s="213"/>
      <c r="D9" s="213"/>
      <c r="E9" s="213"/>
      <c r="F9" s="213"/>
      <c r="G9" s="214"/>
    </row>
    <row r="10" spans="1:19" s="13" customFormat="1">
      <c r="A10" s="79" t="s">
        <v>1142</v>
      </c>
      <c r="B10" s="239" t="str">
        <f>'Carta descriptiva'!G30</f>
        <v xml:space="preserve">El entendimiento y uso de los siguientes tópicos en la construcción de aplicaciones interactivas y creativas:
La simulación del movimiento: vectores y fuerzas.
La simulación del movimiento: oscilación
Los sistemas de partículas
La simulación de físicas: bibliotecas de físicas.
Los sistemas complejos: agentes autónomos, autómata celular, fractales.
Algoritmos genéticos y redes neuronales.
</v>
      </c>
      <c r="C10" s="240"/>
      <c r="D10" s="240"/>
      <c r="E10" s="240"/>
      <c r="F10" s="240"/>
      <c r="G10" s="241"/>
    </row>
    <row r="11" spans="1:19" s="13" customFormat="1">
      <c r="A11" s="22" t="s">
        <v>70</v>
      </c>
      <c r="B11" s="237" t="str">
        <f>'Carta descriptiva'!B68:J68</f>
        <v>D. Shiffman, 2012. The Nature of Code: Simulating Natural Systems with Processing. Daniel Shiffman.</v>
      </c>
      <c r="C11" s="237"/>
      <c r="D11" s="237"/>
      <c r="E11" s="237"/>
      <c r="F11" s="237"/>
      <c r="G11" s="237"/>
    </row>
    <row r="12" spans="1:19" s="13" customFormat="1">
      <c r="A12" s="23" t="s">
        <v>72</v>
      </c>
      <c r="B12" s="237">
        <f>'Carta descriptiva'!B69:J69</f>
        <v>0</v>
      </c>
      <c r="C12" s="237"/>
      <c r="D12" s="237"/>
      <c r="E12" s="237"/>
      <c r="F12" s="237"/>
      <c r="G12" s="237"/>
    </row>
    <row r="13" spans="1:19" s="13" customFormat="1">
      <c r="A13" s="23" t="s">
        <v>73</v>
      </c>
      <c r="B13" s="237">
        <f>'Carta descriptiva'!B70:J70</f>
        <v>0</v>
      </c>
      <c r="C13" s="237"/>
      <c r="D13" s="237"/>
      <c r="E13" s="237"/>
      <c r="F13" s="237"/>
      <c r="G13" s="237"/>
    </row>
    <row r="14" spans="1:19" s="13" customFormat="1">
      <c r="A14" s="23" t="s">
        <v>74</v>
      </c>
      <c r="B14" s="237">
        <f>'Carta descriptiva'!B71:J71</f>
        <v>0</v>
      </c>
      <c r="C14" s="237"/>
      <c r="D14" s="237"/>
      <c r="E14" s="237"/>
      <c r="F14" s="237"/>
      <c r="G14" s="237"/>
    </row>
    <row r="15" spans="1:19" s="13" customFormat="1">
      <c r="A15" s="81" t="s">
        <v>75</v>
      </c>
      <c r="B15" s="237">
        <f>'Carta descriptiva'!B72:J72</f>
        <v>0</v>
      </c>
      <c r="C15" s="237"/>
      <c r="D15" s="237"/>
      <c r="E15" s="237"/>
      <c r="F15" s="237"/>
      <c r="G15" s="237"/>
    </row>
  </sheetData>
  <sheetProtection algorithmName="SHA-512" hashValue="X9Nr+FjXbtT0BllYe5ZT5IwS3VxAQ9jnaSp1O1BagGwgXrrGWOYq3Vi1Ac9S0t39iFjOYWGEdlH3Zby+9E/hNw==" saltValue="lWr6teDXT/fS0DGtz2416A==" spinCount="100000" sheet="1" objects="1" scenarios="1" formatColumns="0" insertColumns="0" insertRows="0" selectLockedCells="1"/>
  <protectedRanges>
    <protectedRange sqref="B2:G2" name="Rango1_1"/>
    <protectedRange sqref="B4:G7 B3:G3" name="Rango2_1"/>
    <protectedRange sqref="B8:G10" name="Rango4_1"/>
    <protectedRange sqref="B4:G7 B3:G3" name="Rango5_1"/>
    <protectedRange sqref="B11:C14" name="Rango9_1"/>
    <protectedRange sqref="B15:G15" name="Rango10_1"/>
  </protectedRanges>
  <mergeCells count="15">
    <mergeCell ref="B12:G12"/>
    <mergeCell ref="B13:G13"/>
    <mergeCell ref="B14:G14"/>
    <mergeCell ref="B15:G15"/>
    <mergeCell ref="B7:G7"/>
    <mergeCell ref="B8:G8"/>
    <mergeCell ref="B9:G9"/>
    <mergeCell ref="B10:G10"/>
    <mergeCell ref="B11:G11"/>
    <mergeCell ref="B6:G6"/>
    <mergeCell ref="A1:G1"/>
    <mergeCell ref="B2:G2"/>
    <mergeCell ref="B3:G3"/>
    <mergeCell ref="B4:G4"/>
    <mergeCell ref="B5:G5"/>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6C0C6ABC48D0954A9EFE96C5EE9534E8" ma:contentTypeVersion="9" ma:contentTypeDescription="Crear nuevo documento." ma:contentTypeScope="" ma:versionID="469417233083b20f35d6f1681e527841">
  <xsd:schema xmlns:xsd="http://www.w3.org/2001/XMLSchema" xmlns:xs="http://www.w3.org/2001/XMLSchema" xmlns:p="http://schemas.microsoft.com/office/2006/metadata/properties" xmlns:ns2="e44afc84-4482-474a-ab72-0c03b054bbc6" xmlns:ns3="98ebfae4-ee72-48cb-9cbc-f54463533719" targetNamespace="http://schemas.microsoft.com/office/2006/metadata/properties" ma:root="true" ma:fieldsID="c977d9f5cbdfc7e9d0be8e0e47b80ce2" ns2:_="" ns3:_="">
    <xsd:import namespace="e44afc84-4482-474a-ab72-0c03b054bbc6"/>
    <xsd:import namespace="98ebfae4-ee72-48cb-9cbc-f5446353371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EventHashCode" minOccurs="0"/>
                <xsd:element ref="ns3:MediaServiceGeneration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44afc84-4482-474a-ab72-0c03b054bbc6" elementFormDefault="qualified">
    <xsd:import namespace="http://schemas.microsoft.com/office/2006/documentManagement/types"/>
    <xsd:import namespace="http://schemas.microsoft.com/office/infopath/2007/PartnerControls"/>
    <xsd:element name="SharedWithUsers" ma:index="8"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Detalles de uso compartido" ma:description=""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ebfae4-ee72-48cb-9cbc-f54463533719" elementFormDefault="qualified">
    <xsd:import namespace="http://schemas.microsoft.com/office/2006/documentManagement/types"/>
    <xsd:import namespace="http://schemas.microsoft.com/office/infopath/2007/PartnerControls"/>
    <xsd:element name="MediaServiceMetadata" ma:index="10" nillable="true" ma:displayName="MediaServiceMetadata" ma:description="" ma:hidden="true" ma:internalName="MediaServiceMetadata" ma:readOnly="true">
      <xsd:simpleType>
        <xsd:restriction base="dms:Note"/>
      </xsd:simpleType>
    </xsd:element>
    <xsd:element name="MediaServiceFastMetadata" ma:index="11" nillable="true" ma:displayName="MediaServiceFastMetadata" ma:description="" ma:hidden="true" ma:internalName="MediaServiceFastMetadata" ma:readOnly="true">
      <xsd:simpleType>
        <xsd:restriction base="dms:Note"/>
      </xsd:simpleType>
    </xsd:element>
    <xsd:element name="MediaServiceDateTaken" ma:index="12" nillable="true" ma:displayName="MediaServiceDateTaken" ma:description="" ma:hidden="true" ma:internalName="MediaServiceDateTaken" ma:readOnly="true">
      <xsd:simpleType>
        <xsd:restriction base="dms:Text"/>
      </xsd:simpleType>
    </xsd:element>
    <xsd:element name="MediaServiceAutoTags" ma:index="13" nillable="true" ma:displayName="MediaServiceAutoTags" ma:description=""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e44afc84-4482-474a-ab72-0c03b054bbc6">
      <UserInfo>
        <DisplayName/>
        <AccountId xsi:nil="true"/>
        <AccountType/>
      </UserInfo>
    </SharedWithUsers>
  </documentManagement>
</p:properties>
</file>

<file path=customXml/itemProps1.xml><?xml version="1.0" encoding="utf-8"?>
<ds:datastoreItem xmlns:ds="http://schemas.openxmlformats.org/officeDocument/2006/customXml" ds:itemID="{49150AB5-1A91-4EAB-A564-34BECDE95563}"/>
</file>

<file path=customXml/itemProps2.xml><?xml version="1.0" encoding="utf-8"?>
<ds:datastoreItem xmlns:ds="http://schemas.openxmlformats.org/officeDocument/2006/customXml" ds:itemID="{7CE13416-660F-46AF-9D37-26187F193214}"/>
</file>

<file path=customXml/itemProps3.xml><?xml version="1.0" encoding="utf-8"?>
<ds:datastoreItem xmlns:ds="http://schemas.openxmlformats.org/officeDocument/2006/customXml" ds:itemID="{F5E30B98-AA67-4359-A4DB-12BE2DCCEB0C}"/>
</file>

<file path=docProps/app.xml><?xml version="1.0" encoding="utf-8"?>
<Properties xmlns="http://schemas.openxmlformats.org/officeDocument/2006/extended-properties" xmlns:vt="http://schemas.openxmlformats.org/officeDocument/2006/docPropsVTypes">
  <Application>Microsoft Excel Online</Application>
  <Manager/>
  <Company>CENTRO DE EDUCACION SUPERIOR</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UNIVERSIDAD PONTIFICIA BOLIVARIANA</dc:creator>
  <cp:keywords/>
  <dc:description/>
  <cp:lastModifiedBy>Juan Fernando Franco Higuita</cp:lastModifiedBy>
  <cp:revision/>
  <dcterms:created xsi:type="dcterms:W3CDTF">2005-03-07T23:50:51Z</dcterms:created>
  <dcterms:modified xsi:type="dcterms:W3CDTF">2019-09-17T16:00:45Z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0x0101006C0C6ABC48D0954A9EFE96C5EE9534E8</vt:lpwstr>
  </property>
  <property fmtid="{D5CDD505-2E9C-101B-9397-08002B2CF9AE}" pid="3" name="xd_Signature">
    <vt:bool>false</vt:bool>
  </property>
  <property fmtid="{D5CDD505-2E9C-101B-9397-08002B2CF9AE}" pid="4" name="xd_ProgID">
    <vt:lpwstr/>
  </property>
  <property fmtid="{D5CDD505-2E9C-101B-9397-08002B2CF9AE}" pid="5" name="_SourceUrl">
    <vt:lpwstr/>
  </property>
  <property fmtid="{D5CDD505-2E9C-101B-9397-08002B2CF9AE}" pid="6" name="_SharedFileIndex">
    <vt:lpwstr/>
  </property>
  <property fmtid="{D5CDD505-2E9C-101B-9397-08002B2CF9AE}" pid="7" name="TemplateUrl">
    <vt:lpwstr/>
  </property>
  <property fmtid="{D5CDD505-2E9C-101B-9397-08002B2CF9AE}" pid="8" name="ComplianceAssetId">
    <vt:lpwstr/>
  </property>
</Properties>
</file>